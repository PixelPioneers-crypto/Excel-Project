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24226"/>
  <mc:AlternateContent xmlns:mc="http://schemas.openxmlformats.org/markup-compatibility/2006">
    <mc:Choice Requires="x15">
      <x15ac:absPath xmlns:x15ac="http://schemas.microsoft.com/office/spreadsheetml/2010/11/ac" url="C:\Users\Harshal\Downloads\"/>
    </mc:Choice>
  </mc:AlternateContent>
  <xr:revisionPtr revIDLastSave="0" documentId="8_{2FFEE448-44F7-4CE6-8CE8-984319406083}" xr6:coauthVersionLast="47" xr6:coauthVersionMax="47" xr10:uidLastSave="{00000000-0000-0000-0000-000000000000}"/>
  <bookViews>
    <workbookView xWindow="-110" yWindow="-110" windowWidth="19420" windowHeight="10300" activeTab="2" xr2:uid="{00000000-000D-0000-FFFF-FFFF00000000}"/>
  </bookViews>
  <sheets>
    <sheet name="Dataset" sheetId="1" r:id="rId1"/>
    <sheet name="Pivot Tables" sheetId="2" r:id="rId2"/>
    <sheet name="Final Dashboard" sheetId="5" r:id="rId3"/>
  </sheets>
  <definedNames>
    <definedName name="Slicer_Application_Age_Category">#N/A</definedName>
    <definedName name="Slicer_Application_Source">#N/A</definedName>
    <definedName name="Slicer_Company_Name">#N/A</definedName>
    <definedName name="Slicer_Current_Status">#N/A</definedName>
    <definedName name="Slicer_Job_Role">#N/A</definedName>
    <definedName name="Slicer_Mode_of_Interview">#N/A</definedName>
    <definedName name="Slicer_Stage_Reached">#N/A</definedName>
    <definedName name="Today">Dataset!#REF!</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 i="1" l="1"/>
  <c r="J3" i="1"/>
  <c r="K3" i="1" s="1"/>
  <c r="J4" i="1"/>
  <c r="J5" i="1"/>
  <c r="K5" i="1" s="1"/>
  <c r="J6" i="1"/>
  <c r="J7" i="1"/>
  <c r="K7" i="1" s="1"/>
  <c r="J8" i="1"/>
  <c r="K8" i="1" s="1"/>
  <c r="J9" i="1"/>
  <c r="K9" i="1" s="1"/>
  <c r="J10" i="1"/>
  <c r="K10" i="1" s="1"/>
  <c r="J11" i="1"/>
  <c r="K11" i="1" s="1"/>
  <c r="J12" i="1"/>
  <c r="K12" i="1" s="1"/>
  <c r="J13" i="1"/>
  <c r="K13" i="1" s="1"/>
  <c r="J14" i="1"/>
  <c r="J15" i="1"/>
  <c r="K15" i="1" s="1"/>
  <c r="J16" i="1"/>
  <c r="K16" i="1" s="1"/>
  <c r="J17" i="1"/>
  <c r="K17" i="1" s="1"/>
  <c r="J18" i="1"/>
  <c r="J19" i="1"/>
  <c r="K19" i="1" s="1"/>
  <c r="J20" i="1"/>
  <c r="J21" i="1"/>
  <c r="J22" i="1"/>
  <c r="J23" i="1"/>
  <c r="K23" i="1" s="1"/>
  <c r="J24" i="1"/>
  <c r="K24" i="1" s="1"/>
  <c r="J25" i="1"/>
  <c r="K25" i="1" s="1"/>
  <c r="J26" i="1"/>
  <c r="K26" i="1" s="1"/>
  <c r="J27" i="1"/>
  <c r="K27" i="1" s="1"/>
  <c r="J28" i="1"/>
  <c r="K28" i="1" s="1"/>
  <c r="J29" i="1"/>
  <c r="K29" i="1" s="1"/>
  <c r="J30" i="1"/>
  <c r="K30" i="1" s="1"/>
  <c r="J31" i="1"/>
  <c r="K31" i="1" s="1"/>
  <c r="J32" i="1"/>
  <c r="K32" i="1" s="1"/>
  <c r="J33" i="1"/>
  <c r="K33" i="1" s="1"/>
  <c r="J34" i="1"/>
  <c r="K34" i="1" s="1"/>
  <c r="J35" i="1"/>
  <c r="K35" i="1" s="1"/>
  <c r="J36" i="1"/>
  <c r="J37" i="1"/>
  <c r="J38" i="1"/>
  <c r="J39" i="1"/>
  <c r="K39" i="1" s="1"/>
  <c r="J40" i="1"/>
  <c r="K40" i="1" s="1"/>
  <c r="J41" i="1"/>
  <c r="K41" i="1" s="1"/>
  <c r="J42" i="1"/>
  <c r="K42" i="1" s="1"/>
  <c r="J43" i="1"/>
  <c r="K43" i="1" s="1"/>
  <c r="J44" i="1"/>
  <c r="K44" i="1" s="1"/>
  <c r="J45" i="1"/>
  <c r="K45" i="1" s="1"/>
  <c r="J46" i="1"/>
  <c r="J47" i="1"/>
  <c r="K47" i="1" s="1"/>
  <c r="J48" i="1"/>
  <c r="K48" i="1" s="1"/>
  <c r="J49" i="1"/>
  <c r="K49" i="1" s="1"/>
  <c r="J50" i="1"/>
  <c r="K50" i="1" s="1"/>
  <c r="J51" i="1"/>
  <c r="K51" i="1" s="1"/>
  <c r="J52" i="1"/>
  <c r="J53" i="1"/>
  <c r="J54" i="1"/>
  <c r="K54" i="1" s="1"/>
  <c r="J55" i="1"/>
  <c r="K55" i="1" s="1"/>
  <c r="J56" i="1"/>
  <c r="K56" i="1" s="1"/>
  <c r="J57" i="1"/>
  <c r="K57" i="1" s="1"/>
  <c r="J58" i="1"/>
  <c r="K58" i="1" s="1"/>
  <c r="J59" i="1"/>
  <c r="K59" i="1" s="1"/>
  <c r="J60" i="1"/>
  <c r="J61" i="1"/>
  <c r="K61" i="1" s="1"/>
  <c r="J62" i="1"/>
  <c r="J63" i="1"/>
  <c r="K63" i="1" s="1"/>
  <c r="J64" i="1"/>
  <c r="K64" i="1" s="1"/>
  <c r="J65" i="1"/>
  <c r="K65" i="1" s="1"/>
  <c r="J66" i="1"/>
  <c r="K66" i="1" s="1"/>
  <c r="J67" i="1"/>
  <c r="K67" i="1" s="1"/>
  <c r="J68" i="1"/>
  <c r="K68" i="1" s="1"/>
  <c r="J69" i="1"/>
  <c r="K69" i="1" s="1"/>
  <c r="J70" i="1"/>
  <c r="J71" i="1"/>
  <c r="K71" i="1" s="1"/>
  <c r="J72" i="1"/>
  <c r="K72" i="1" s="1"/>
  <c r="J73" i="1"/>
  <c r="K73" i="1" s="1"/>
  <c r="J74" i="1"/>
  <c r="K74" i="1" s="1"/>
  <c r="J75" i="1"/>
  <c r="K75" i="1" s="1"/>
  <c r="J76" i="1"/>
  <c r="J77" i="1"/>
  <c r="K77" i="1" s="1"/>
  <c r="J78" i="1"/>
  <c r="J79" i="1"/>
  <c r="K79" i="1" s="1"/>
  <c r="J80" i="1"/>
  <c r="K80" i="1" s="1"/>
  <c r="J81" i="1"/>
  <c r="K81" i="1" s="1"/>
  <c r="J82" i="1"/>
  <c r="K82" i="1" s="1"/>
  <c r="J83" i="1"/>
  <c r="K83" i="1" s="1"/>
  <c r="J84" i="1"/>
  <c r="J85" i="1"/>
  <c r="K85" i="1" s="1"/>
  <c r="J86" i="1"/>
  <c r="K86" i="1" s="1"/>
  <c r="J87" i="1"/>
  <c r="K87" i="1" s="1"/>
  <c r="J88" i="1"/>
  <c r="K88" i="1" s="1"/>
  <c r="J89" i="1"/>
  <c r="K89" i="1" s="1"/>
  <c r="J90" i="1"/>
  <c r="K90" i="1" s="1"/>
  <c r="J91" i="1"/>
  <c r="K91" i="1" s="1"/>
  <c r="J92" i="1"/>
  <c r="K92" i="1" s="1"/>
  <c r="J93" i="1"/>
  <c r="K93" i="1" s="1"/>
  <c r="J94" i="1"/>
  <c r="J95" i="1"/>
  <c r="K95" i="1" s="1"/>
  <c r="J96" i="1"/>
  <c r="K96" i="1" s="1"/>
  <c r="J97" i="1"/>
  <c r="K97" i="1" s="1"/>
  <c r="J98" i="1"/>
  <c r="K98" i="1" s="1"/>
  <c r="J99" i="1"/>
  <c r="K99" i="1" s="1"/>
  <c r="J100" i="1"/>
  <c r="J101" i="1"/>
  <c r="K101" i="1" s="1"/>
  <c r="J102" i="1"/>
  <c r="K102" i="1" s="1"/>
  <c r="J103" i="1"/>
  <c r="K103" i="1" s="1"/>
  <c r="J104" i="1"/>
  <c r="K104" i="1" s="1"/>
  <c r="J105" i="1"/>
  <c r="K105" i="1" s="1"/>
  <c r="J106" i="1"/>
  <c r="K106" i="1" s="1"/>
  <c r="J107" i="1"/>
  <c r="K107" i="1" s="1"/>
  <c r="J108" i="1"/>
  <c r="J109" i="1"/>
  <c r="J110" i="1"/>
  <c r="J111" i="1"/>
  <c r="K111" i="1" s="1"/>
  <c r="J112" i="1"/>
  <c r="K112" i="1" s="1"/>
  <c r="J113" i="1"/>
  <c r="K113" i="1" s="1"/>
  <c r="J114" i="1"/>
  <c r="K114" i="1" s="1"/>
  <c r="J115" i="1"/>
  <c r="K115" i="1" s="1"/>
  <c r="J116" i="1"/>
  <c r="J117" i="1"/>
  <c r="K117" i="1" s="1"/>
  <c r="J118" i="1"/>
  <c r="K118" i="1" s="1"/>
  <c r="J119" i="1"/>
  <c r="K119" i="1" s="1"/>
  <c r="J120" i="1"/>
  <c r="K120" i="1" s="1"/>
  <c r="J121" i="1"/>
  <c r="K121" i="1" s="1"/>
  <c r="J122" i="1"/>
  <c r="K122" i="1" s="1"/>
  <c r="J123" i="1"/>
  <c r="K123" i="1" s="1"/>
  <c r="J124" i="1"/>
  <c r="J125" i="1"/>
  <c r="K125" i="1" s="1"/>
  <c r="J126" i="1"/>
  <c r="K126" i="1" s="1"/>
  <c r="J127" i="1"/>
  <c r="K127" i="1" s="1"/>
  <c r="J128" i="1"/>
  <c r="K128" i="1" s="1"/>
  <c r="J129" i="1"/>
  <c r="K129" i="1" s="1"/>
  <c r="J130" i="1"/>
  <c r="K130" i="1" s="1"/>
  <c r="J131" i="1"/>
  <c r="K131" i="1" s="1"/>
  <c r="J132" i="1"/>
  <c r="J133" i="1"/>
  <c r="J134" i="1"/>
  <c r="K134" i="1" s="1"/>
  <c r="J135" i="1"/>
  <c r="K135" i="1" s="1"/>
  <c r="J136" i="1"/>
  <c r="K136" i="1" s="1"/>
  <c r="J137" i="1"/>
  <c r="K137" i="1" s="1"/>
  <c r="J138" i="1"/>
  <c r="K138" i="1" s="1"/>
  <c r="J139" i="1"/>
  <c r="K139" i="1" s="1"/>
  <c r="J140" i="1"/>
  <c r="J141" i="1"/>
  <c r="J142" i="1"/>
  <c r="K142" i="1" s="1"/>
  <c r="J143" i="1"/>
  <c r="K143" i="1" s="1"/>
  <c r="J144" i="1"/>
  <c r="K144" i="1" s="1"/>
  <c r="J145" i="1"/>
  <c r="K145" i="1" s="1"/>
  <c r="J146" i="1"/>
  <c r="K146" i="1" s="1"/>
  <c r="J147" i="1"/>
  <c r="K147" i="1" s="1"/>
  <c r="J148" i="1"/>
  <c r="J149" i="1"/>
  <c r="K149" i="1" s="1"/>
  <c r="J150" i="1"/>
  <c r="K150" i="1" s="1"/>
  <c r="J151" i="1"/>
  <c r="K151" i="1" s="1"/>
  <c r="J152" i="1"/>
  <c r="K152" i="1" s="1"/>
  <c r="J153" i="1"/>
  <c r="K153" i="1" s="1"/>
  <c r="J154" i="1"/>
  <c r="K154" i="1" s="1"/>
  <c r="J155" i="1"/>
  <c r="K155" i="1" s="1"/>
  <c r="J156" i="1"/>
  <c r="J157" i="1"/>
  <c r="K157" i="1" s="1"/>
  <c r="J158" i="1"/>
  <c r="K158" i="1" s="1"/>
  <c r="J159" i="1"/>
  <c r="K159" i="1" s="1"/>
  <c r="J160" i="1"/>
  <c r="K160" i="1" s="1"/>
  <c r="J161" i="1"/>
  <c r="K161" i="1" s="1"/>
  <c r="J162" i="1"/>
  <c r="K162" i="1" s="1"/>
  <c r="J163" i="1"/>
  <c r="K163" i="1" s="1"/>
  <c r="J164" i="1"/>
  <c r="J165" i="1"/>
  <c r="K165" i="1" s="1"/>
  <c r="J166" i="1"/>
  <c r="J167" i="1"/>
  <c r="K167" i="1" s="1"/>
  <c r="J168" i="1"/>
  <c r="K168" i="1" s="1"/>
  <c r="J169" i="1"/>
  <c r="K169" i="1" s="1"/>
  <c r="J170" i="1"/>
  <c r="K170" i="1" s="1"/>
  <c r="J171" i="1"/>
  <c r="K171" i="1" s="1"/>
  <c r="J172" i="1"/>
  <c r="J173" i="1"/>
  <c r="K173" i="1" s="1"/>
  <c r="J174" i="1"/>
  <c r="K174" i="1" s="1"/>
  <c r="J175" i="1"/>
  <c r="K175" i="1" s="1"/>
  <c r="J176" i="1"/>
  <c r="K176" i="1" s="1"/>
  <c r="J177" i="1"/>
  <c r="K177" i="1" s="1"/>
  <c r="J178" i="1"/>
  <c r="K178" i="1" s="1"/>
  <c r="J179" i="1"/>
  <c r="K179" i="1" s="1"/>
  <c r="J180" i="1"/>
  <c r="J181" i="1"/>
  <c r="K181" i="1" s="1"/>
  <c r="J182" i="1"/>
  <c r="K182" i="1" s="1"/>
  <c r="J183" i="1"/>
  <c r="K183" i="1" s="1"/>
  <c r="J184" i="1"/>
  <c r="K184" i="1" s="1"/>
  <c r="J185" i="1"/>
  <c r="K185" i="1" s="1"/>
  <c r="J186" i="1"/>
  <c r="K186" i="1" s="1"/>
  <c r="J187" i="1"/>
  <c r="K187" i="1" s="1"/>
  <c r="J188" i="1"/>
  <c r="J189" i="1"/>
  <c r="K189" i="1" s="1"/>
  <c r="J190" i="1"/>
  <c r="K190" i="1" s="1"/>
  <c r="J191" i="1"/>
  <c r="K191" i="1" s="1"/>
  <c r="J192" i="1"/>
  <c r="K192" i="1" s="1"/>
  <c r="J193" i="1"/>
  <c r="K193" i="1" s="1"/>
  <c r="J194" i="1"/>
  <c r="K194" i="1" s="1"/>
  <c r="J195" i="1"/>
  <c r="K195" i="1" s="1"/>
  <c r="J196" i="1"/>
  <c r="J197" i="1"/>
  <c r="K197" i="1" s="1"/>
  <c r="J198" i="1"/>
  <c r="K198" i="1" s="1"/>
  <c r="J199" i="1"/>
  <c r="K199" i="1" s="1"/>
  <c r="J200" i="1"/>
  <c r="K200" i="1" s="1"/>
  <c r="J201" i="1"/>
  <c r="K201" i="1" s="1"/>
  <c r="J202" i="1"/>
  <c r="K202" i="1" s="1"/>
  <c r="J203" i="1"/>
  <c r="K203" i="1" s="1"/>
  <c r="J204" i="1"/>
  <c r="J205" i="1"/>
  <c r="K205" i="1" s="1"/>
  <c r="J206" i="1"/>
  <c r="K206" i="1" s="1"/>
  <c r="J207" i="1"/>
  <c r="K207" i="1" s="1"/>
  <c r="J208" i="1"/>
  <c r="K208" i="1" s="1"/>
  <c r="J209" i="1"/>
  <c r="K209" i="1" s="1"/>
  <c r="K21" i="1"/>
  <c r="K2" i="1"/>
  <c r="K4" i="1"/>
  <c r="K6" i="1"/>
  <c r="K14" i="1"/>
  <c r="K18" i="1"/>
  <c r="K20" i="1"/>
  <c r="K22" i="1"/>
  <c r="K36" i="1"/>
  <c r="K37" i="1"/>
  <c r="K38" i="1"/>
  <c r="K46" i="1"/>
  <c r="K52" i="1"/>
  <c r="K53" i="1"/>
  <c r="K60" i="1"/>
  <c r="K62" i="1"/>
  <c r="K70" i="1"/>
  <c r="K76" i="1"/>
  <c r="K78" i="1"/>
  <c r="K84" i="1"/>
  <c r="K94" i="1"/>
  <c r="K100" i="1"/>
  <c r="K108" i="1"/>
  <c r="K109" i="1"/>
  <c r="K110" i="1"/>
  <c r="K116" i="1"/>
  <c r="K124" i="1"/>
  <c r="K132" i="1"/>
  <c r="K133" i="1"/>
  <c r="K140" i="1"/>
  <c r="K141" i="1"/>
  <c r="K148" i="1"/>
  <c r="K156" i="1"/>
  <c r="K164" i="1"/>
  <c r="K166" i="1"/>
  <c r="K172" i="1"/>
  <c r="K180" i="1"/>
  <c r="K188" i="1"/>
  <c r="K196" i="1"/>
  <c r="K204" i="1"/>
</calcChain>
</file>

<file path=xl/sharedStrings.xml><?xml version="1.0" encoding="utf-8"?>
<sst xmlns="http://schemas.openxmlformats.org/spreadsheetml/2006/main" count="1950" uniqueCount="461">
  <si>
    <t>Application ID</t>
  </si>
  <si>
    <t>Date Applied</t>
  </si>
  <si>
    <t>Company Name</t>
  </si>
  <si>
    <t>Job Role</t>
  </si>
  <si>
    <t>Application Source</t>
  </si>
  <si>
    <t>Current Status</t>
  </si>
  <si>
    <t>Stage Reached</t>
  </si>
  <si>
    <t>Mode of Interview</t>
  </si>
  <si>
    <t>Offer Received</t>
  </si>
  <si>
    <t>APP003</t>
  </si>
  <si>
    <t>APP007</t>
  </si>
  <si>
    <t>APP010</t>
  </si>
  <si>
    <t>APP012</t>
  </si>
  <si>
    <t>APP014</t>
  </si>
  <si>
    <t>APP016</t>
  </si>
  <si>
    <t>APP019</t>
  </si>
  <si>
    <t>APP020</t>
  </si>
  <si>
    <t>APP021</t>
  </si>
  <si>
    <t>APP025</t>
  </si>
  <si>
    <t>APP027</t>
  </si>
  <si>
    <t>APP031</t>
  </si>
  <si>
    <t>APP032</t>
  </si>
  <si>
    <t>APP034</t>
  </si>
  <si>
    <t>APP036</t>
  </si>
  <si>
    <t>APP039</t>
  </si>
  <si>
    <t>APP041</t>
  </si>
  <si>
    <t>APP043</t>
  </si>
  <si>
    <t>APP045</t>
  </si>
  <si>
    <t>APP046</t>
  </si>
  <si>
    <t>APP049</t>
  </si>
  <si>
    <t>APP050</t>
  </si>
  <si>
    <t>APP051</t>
  </si>
  <si>
    <t>APP055</t>
  </si>
  <si>
    <t>APP057</t>
  </si>
  <si>
    <t>APP060</t>
  </si>
  <si>
    <t>APP063</t>
  </si>
  <si>
    <t>APP064</t>
  </si>
  <si>
    <t>APP066</t>
  </si>
  <si>
    <t>APP069</t>
  </si>
  <si>
    <t>APP071</t>
  </si>
  <si>
    <t>APP073</t>
  </si>
  <si>
    <t>APP075</t>
  </si>
  <si>
    <t>APP079</t>
  </si>
  <si>
    <t>APP080</t>
  </si>
  <si>
    <t>APP084</t>
  </si>
  <si>
    <t>APP086</t>
  </si>
  <si>
    <t>APP090</t>
  </si>
  <si>
    <t>APP096</t>
  </si>
  <si>
    <t>APP101</t>
  </si>
  <si>
    <t>APP103</t>
  </si>
  <si>
    <t>APP108</t>
  </si>
  <si>
    <t>APP116</t>
  </si>
  <si>
    <t>APP118</t>
  </si>
  <si>
    <t>APP119</t>
  </si>
  <si>
    <t>APP120</t>
  </si>
  <si>
    <t>APP123</t>
  </si>
  <si>
    <t>APP125</t>
  </si>
  <si>
    <t>APP126</t>
  </si>
  <si>
    <t>APP127</t>
  </si>
  <si>
    <t>APP130</t>
  </si>
  <si>
    <t>APP133</t>
  </si>
  <si>
    <t>APP145</t>
  </si>
  <si>
    <t>APP146</t>
  </si>
  <si>
    <t>APP147</t>
  </si>
  <si>
    <t>APP153</t>
  </si>
  <si>
    <t>APP155</t>
  </si>
  <si>
    <t>APP159</t>
  </si>
  <si>
    <t>APP162</t>
  </si>
  <si>
    <t>APP163</t>
  </si>
  <si>
    <t>APP164</t>
  </si>
  <si>
    <t>APP168</t>
  </si>
  <si>
    <t>APP169</t>
  </si>
  <si>
    <t>APP170</t>
  </si>
  <si>
    <t>APP171</t>
  </si>
  <si>
    <t>APP172</t>
  </si>
  <si>
    <t>APP177</t>
  </si>
  <si>
    <t>APP181</t>
  </si>
  <si>
    <t>APP184</t>
  </si>
  <si>
    <t>APP188</t>
  </si>
  <si>
    <t>APP189</t>
  </si>
  <si>
    <t>APP193</t>
  </si>
  <si>
    <t>APP194</t>
  </si>
  <si>
    <t>APP195</t>
  </si>
  <si>
    <t>APP198</t>
  </si>
  <si>
    <t>APP201</t>
  </si>
  <si>
    <t>APP202</t>
  </si>
  <si>
    <t>APP204</t>
  </si>
  <si>
    <t>APP211</t>
  </si>
  <si>
    <t>APP218</t>
  </si>
  <si>
    <t>APP221</t>
  </si>
  <si>
    <t>APP225</t>
  </si>
  <si>
    <t>APP228</t>
  </si>
  <si>
    <t>APP229</t>
  </si>
  <si>
    <t>APP231</t>
  </si>
  <si>
    <t>APP235</t>
  </si>
  <si>
    <t>APP236</t>
  </si>
  <si>
    <t>APP237</t>
  </si>
  <si>
    <t>APP239</t>
  </si>
  <si>
    <t>APP241</t>
  </si>
  <si>
    <t>APP244</t>
  </si>
  <si>
    <t>APP245</t>
  </si>
  <si>
    <t>APP248</t>
  </si>
  <si>
    <t>APP254</t>
  </si>
  <si>
    <t>APP257</t>
  </si>
  <si>
    <t>APP260</t>
  </si>
  <si>
    <t>APP261</t>
  </si>
  <si>
    <t>APP266</t>
  </si>
  <si>
    <t>APP268</t>
  </si>
  <si>
    <t>APP271</t>
  </si>
  <si>
    <t>APP275</t>
  </si>
  <si>
    <t>APP280</t>
  </si>
  <si>
    <t>APP284</t>
  </si>
  <si>
    <t>APP285</t>
  </si>
  <si>
    <t>APP286</t>
  </si>
  <si>
    <t>APP290</t>
  </si>
  <si>
    <t>APP291</t>
  </si>
  <si>
    <t>APP293</t>
  </si>
  <si>
    <t>APP294</t>
  </si>
  <si>
    <t>APP295</t>
  </si>
  <si>
    <t>APP296</t>
  </si>
  <si>
    <t>APP297</t>
  </si>
  <si>
    <t>APP300</t>
  </si>
  <si>
    <t>APP302</t>
  </si>
  <si>
    <t>APP304</t>
  </si>
  <si>
    <t>APP313</t>
  </si>
  <si>
    <t>APP314</t>
  </si>
  <si>
    <t>APP316</t>
  </si>
  <si>
    <t>APP317</t>
  </si>
  <si>
    <t>APP322</t>
  </si>
  <si>
    <t>APP325</t>
  </si>
  <si>
    <t>APP328</t>
  </si>
  <si>
    <t>APP331</t>
  </si>
  <si>
    <t>APP332</t>
  </si>
  <si>
    <t>APP333</t>
  </si>
  <si>
    <t>APP335</t>
  </si>
  <si>
    <t>APP336</t>
  </si>
  <si>
    <t>APP338</t>
  </si>
  <si>
    <t>APP345</t>
  </si>
  <si>
    <t>APP346</t>
  </si>
  <si>
    <t>APP347</t>
  </si>
  <si>
    <t>APP351</t>
  </si>
  <si>
    <t>APP352</t>
  </si>
  <si>
    <t>APP355</t>
  </si>
  <si>
    <t>APP356</t>
  </si>
  <si>
    <t>APP357</t>
  </si>
  <si>
    <t>APP362</t>
  </si>
  <si>
    <t>APP364</t>
  </si>
  <si>
    <t>APP366</t>
  </si>
  <si>
    <t>APP367</t>
  </si>
  <si>
    <t>APP368</t>
  </si>
  <si>
    <t>APP369</t>
  </si>
  <si>
    <t>APP371</t>
  </si>
  <si>
    <t>APP372</t>
  </si>
  <si>
    <t>APP374</t>
  </si>
  <si>
    <t>APP376</t>
  </si>
  <si>
    <t>APP377</t>
  </si>
  <si>
    <t>APP379</t>
  </si>
  <si>
    <t>APP382</t>
  </si>
  <si>
    <t>APP387</t>
  </si>
  <si>
    <t>APP389</t>
  </si>
  <si>
    <t>APP393</t>
  </si>
  <si>
    <t>APP394</t>
  </si>
  <si>
    <t>APP395</t>
  </si>
  <si>
    <t>APP398</t>
  </si>
  <si>
    <t>APP399</t>
  </si>
  <si>
    <t>APP402</t>
  </si>
  <si>
    <t>APP407</t>
  </si>
  <si>
    <t>APP408</t>
  </si>
  <si>
    <t>APP415</t>
  </si>
  <si>
    <t>APP416</t>
  </si>
  <si>
    <t>APP417</t>
  </si>
  <si>
    <t>APP418</t>
  </si>
  <si>
    <t>APP419</t>
  </si>
  <si>
    <t>APP420</t>
  </si>
  <si>
    <t>APP421</t>
  </si>
  <si>
    <t>APP423</t>
  </si>
  <si>
    <t>APP424</t>
  </si>
  <si>
    <t>APP425</t>
  </si>
  <si>
    <t>APP427</t>
  </si>
  <si>
    <t>APP429</t>
  </si>
  <si>
    <t>APP432</t>
  </si>
  <si>
    <t>APP433</t>
  </si>
  <si>
    <t>APP435</t>
  </si>
  <si>
    <t>APP437</t>
  </si>
  <si>
    <t>APP440</t>
  </si>
  <si>
    <t>APP441</t>
  </si>
  <si>
    <t>APP442</t>
  </si>
  <si>
    <t>APP445</t>
  </si>
  <si>
    <t>APP448</t>
  </si>
  <si>
    <t>APP449</t>
  </si>
  <si>
    <t>APP451</t>
  </si>
  <si>
    <t>APP455</t>
  </si>
  <si>
    <t>APP456</t>
  </si>
  <si>
    <t>APP457</t>
  </si>
  <si>
    <t>APP458</t>
  </si>
  <si>
    <t>APP460</t>
  </si>
  <si>
    <t>APP461</t>
  </si>
  <si>
    <t>APP463</t>
  </si>
  <si>
    <t>APP465</t>
  </si>
  <si>
    <t>APP466</t>
  </si>
  <si>
    <t>APP469</t>
  </si>
  <si>
    <t>APP471</t>
  </si>
  <si>
    <t>APP472</t>
  </si>
  <si>
    <t>APP475</t>
  </si>
  <si>
    <t>APP477</t>
  </si>
  <si>
    <t>APP478</t>
  </si>
  <si>
    <t>APP479</t>
  </si>
  <si>
    <t>APP481</t>
  </si>
  <si>
    <t>APP482</t>
  </si>
  <si>
    <t>APP485</t>
  </si>
  <si>
    <t>APP490</t>
  </si>
  <si>
    <t>APP491</t>
  </si>
  <si>
    <t>APP492</t>
  </si>
  <si>
    <t>APP493</t>
  </si>
  <si>
    <t>APP498</t>
  </si>
  <si>
    <t>APP499</t>
  </si>
  <si>
    <t>APP500</t>
  </si>
  <si>
    <t>Holloway-Nguyen</t>
  </si>
  <si>
    <t>Shelton-Contreras</t>
  </si>
  <si>
    <t>Jackson, Welch and Thomas</t>
  </si>
  <si>
    <t>Kim-Salazar</t>
  </si>
  <si>
    <t>White Inc</t>
  </si>
  <si>
    <t>Vasquez-Reed</t>
  </si>
  <si>
    <t>Turner, Thomas and Carpenter</t>
  </si>
  <si>
    <t>Phillips, Noble and Tran</t>
  </si>
  <si>
    <t>Elliott, Ramos and Hickman</t>
  </si>
  <si>
    <t>Warren and Sons</t>
  </si>
  <si>
    <t>Smith PLC</t>
  </si>
  <si>
    <t>Hernandez Inc</t>
  </si>
  <si>
    <t>Nelson-Pacheco</t>
  </si>
  <si>
    <t>Ellis-Dickson</t>
  </si>
  <si>
    <t>Erickson Ltd</t>
  </si>
  <si>
    <t>Ortiz, Mitchell and Mullins</t>
  </si>
  <si>
    <t>James, Hall and Carter</t>
  </si>
  <si>
    <t>Carpenter, Flynn and Macias</t>
  </si>
  <si>
    <t>Cochran and Sons</t>
  </si>
  <si>
    <t>Wright-Johnston</t>
  </si>
  <si>
    <t>Potts-Marquez</t>
  </si>
  <si>
    <t>Wheeler-Patel</t>
  </si>
  <si>
    <t>Roberts PLC</t>
  </si>
  <si>
    <t>Rodriguez, Schultz and Russell</t>
  </si>
  <si>
    <t>Murphy PLC</t>
  </si>
  <si>
    <t>Bates-Wilkins</t>
  </si>
  <si>
    <t>Marquez, Mann and Johnson</t>
  </si>
  <si>
    <t>Garcia-Cruz</t>
  </si>
  <si>
    <t>Davis, Vasquez and Stephens</t>
  </si>
  <si>
    <t>Church, Gardner and Farrell</t>
  </si>
  <si>
    <t>Bell-Solis</t>
  </si>
  <si>
    <t>Flores-Mcdonald</t>
  </si>
  <si>
    <t>Osborn, Gibson and Richard</t>
  </si>
  <si>
    <t>Sullivan-Gray</t>
  </si>
  <si>
    <t>Garcia LLC</t>
  </si>
  <si>
    <t>Wolfe-Patterson</t>
  </si>
  <si>
    <t>Hester-Watkins</t>
  </si>
  <si>
    <t>Powell-Jennings</t>
  </si>
  <si>
    <t>Patton-Carney</t>
  </si>
  <si>
    <t>Ramirez Ltd</t>
  </si>
  <si>
    <t>Snow, Baird and Gregory</t>
  </si>
  <si>
    <t>Montgomery Group</t>
  </si>
  <si>
    <t>Coleman-Washington</t>
  </si>
  <si>
    <t>Monroe, Smith and Perry</t>
  </si>
  <si>
    <t>Leon Group</t>
  </si>
  <si>
    <t>Torres, Rodriguez and Gonzalez</t>
  </si>
  <si>
    <t>Jackson LLC</t>
  </si>
  <si>
    <t>Gray-Wilson</t>
  </si>
  <si>
    <t>Sullivan and Sons</t>
  </si>
  <si>
    <t>Bridges PLC</t>
  </si>
  <si>
    <t>Sanchez, Salinas and Harrington</t>
  </si>
  <si>
    <t>Gonzalez Inc</t>
  </si>
  <si>
    <t>Baker-Duke</t>
  </si>
  <si>
    <t>Mcmahon-Avila</t>
  </si>
  <si>
    <t>Taylor, Brock and Miller</t>
  </si>
  <si>
    <t>Wilson-Bowman</t>
  </si>
  <si>
    <t>Phelps-Callahan</t>
  </si>
  <si>
    <t>Steele-Carter</t>
  </si>
  <si>
    <t>Schneider-Rowland</t>
  </si>
  <si>
    <t>Elliott, Johnson and Alvarez</t>
  </si>
  <si>
    <t>Wood-Johnson</t>
  </si>
  <si>
    <t>Gomez PLC</t>
  </si>
  <si>
    <t>Cabrera-Mccormick</t>
  </si>
  <si>
    <t>Wood Inc</t>
  </si>
  <si>
    <t>Austin-Harris</t>
  </si>
  <si>
    <t>Robbins, Murray and Garrett</t>
  </si>
  <si>
    <t>Ibarra Inc</t>
  </si>
  <si>
    <t>Walker and Sons</t>
  </si>
  <si>
    <t>Cooper-Carter</t>
  </si>
  <si>
    <t>Smith Ltd</t>
  </si>
  <si>
    <t>Ortega-Jones</t>
  </si>
  <si>
    <t>Gay Ltd</t>
  </si>
  <si>
    <t>Webster, Hamilton and Reed</t>
  </si>
  <si>
    <t>White Ltd</t>
  </si>
  <si>
    <t>Munoz Ltd</t>
  </si>
  <si>
    <t>Fowler, Mccullough and Thomas</t>
  </si>
  <si>
    <t>Harding Inc</t>
  </si>
  <si>
    <t>Weber-Bennett</t>
  </si>
  <si>
    <t>Spencer-Mendez</t>
  </si>
  <si>
    <t>Carroll-Martin</t>
  </si>
  <si>
    <t>Drake-Mitchell</t>
  </si>
  <si>
    <t>Anderson PLC</t>
  </si>
  <si>
    <t>Harris Inc</t>
  </si>
  <si>
    <t>Padilla Ltd</t>
  </si>
  <si>
    <t>Garner PLC</t>
  </si>
  <si>
    <t>Yates-Rowland</t>
  </si>
  <si>
    <t>Mitchell, Rice and Hodges</t>
  </si>
  <si>
    <t>Potter-Callahan</t>
  </si>
  <si>
    <t>Douglas, Norman and Hill</t>
  </si>
  <si>
    <t>Ball LLC</t>
  </si>
  <si>
    <t>Velasquez, Bowman and Smith</t>
  </si>
  <si>
    <t>Gibson, Zamora and Brown</t>
  </si>
  <si>
    <t>Hayes, Murillo and Montoya</t>
  </si>
  <si>
    <t>Hamilton, Robertson and Ellison</t>
  </si>
  <si>
    <t>Lee, Martinez and Garner</t>
  </si>
  <si>
    <t>Johnson Inc</t>
  </si>
  <si>
    <t>Sanders-Cherry</t>
  </si>
  <si>
    <t>Thomas Ltd</t>
  </si>
  <si>
    <t>Moore LLC</t>
  </si>
  <si>
    <t>Spencer PLC</t>
  </si>
  <si>
    <t>Elliott, Chan and Jacobs</t>
  </si>
  <si>
    <t>Chapman Ltd</t>
  </si>
  <si>
    <t>Fry, Edwards and Lawson</t>
  </si>
  <si>
    <t>Campbell and Sons</t>
  </si>
  <si>
    <t>Stokes Inc</t>
  </si>
  <si>
    <t>Wyatt-Jones</t>
  </si>
  <si>
    <t>Gilmore PLC</t>
  </si>
  <si>
    <t>King Ltd</t>
  </si>
  <si>
    <t>Lutz, Kim and Booth</t>
  </si>
  <si>
    <t>Gonzalez, Navarro and Castro</t>
  </si>
  <si>
    <t>Allison, West and Harrison</t>
  </si>
  <si>
    <t>Atkins-Davis</t>
  </si>
  <si>
    <t>Carter, Williams and Cox</t>
  </si>
  <si>
    <t>Nash-Tyler</t>
  </si>
  <si>
    <t>Martin-Wilson</t>
  </si>
  <si>
    <t>Klein Ltd</t>
  </si>
  <si>
    <t>Smith-Wilcox</t>
  </si>
  <si>
    <t>Hudson, Roman and Larsen</t>
  </si>
  <si>
    <t>Rivera Group</t>
  </si>
  <si>
    <t>Wilson-Buckley</t>
  </si>
  <si>
    <t>Jones, Watkins and Lee</t>
  </si>
  <si>
    <t>Jacobs, Haynes and Sampson</t>
  </si>
  <si>
    <t>Meyer, Rodriguez and Wright</t>
  </si>
  <si>
    <t>Hines-Moreno</t>
  </si>
  <si>
    <t>Smith Group</t>
  </si>
  <si>
    <t>Contreras Ltd</t>
  </si>
  <si>
    <t>Kennedy Inc</t>
  </si>
  <si>
    <t>Coleman Ltd</t>
  </si>
  <si>
    <t>Jackson-Simpson</t>
  </si>
  <si>
    <t>Villarreal, Weaver and Gibbs</t>
  </si>
  <si>
    <t>Lloyd-Johnson</t>
  </si>
  <si>
    <t>Herrera-Nelson</t>
  </si>
  <si>
    <t>Anderson, Mills and Blake</t>
  </si>
  <si>
    <t>Bell, Sparks and Hunter</t>
  </si>
  <si>
    <t>Ruiz, Smith and Graves</t>
  </si>
  <si>
    <t>Chandler and Sons</t>
  </si>
  <si>
    <t>Peterson, Hill and Jones</t>
  </si>
  <si>
    <t>Cruz, Kim and Morales</t>
  </si>
  <si>
    <t>Burgess, Taylor and Wilson</t>
  </si>
  <si>
    <t>Blankenship-Kennedy</t>
  </si>
  <si>
    <t>Lee Group</t>
  </si>
  <si>
    <t>Flores-Phillips</t>
  </si>
  <si>
    <t>Peterson Group</t>
  </si>
  <si>
    <t>Zimmerman, Atkins and Cross</t>
  </si>
  <si>
    <t>Gonzalez Group</t>
  </si>
  <si>
    <t>Tucker, Villegas and Mills</t>
  </si>
  <si>
    <t>Fernandez, Thompson and Stone</t>
  </si>
  <si>
    <t>Jones, Kelley and Wallace</t>
  </si>
  <si>
    <t>Jones-Bridges</t>
  </si>
  <si>
    <t>Simpson and Sons</t>
  </si>
  <si>
    <t>Rodriguez, Jackson and Miller</t>
  </si>
  <si>
    <t>Thompson-Walter</t>
  </si>
  <si>
    <t>Arellano-Sloan</t>
  </si>
  <si>
    <t>Bright-Fleming</t>
  </si>
  <si>
    <t>Hester-Powers</t>
  </si>
  <si>
    <t>Moore-Jones</t>
  </si>
  <si>
    <t>Jones and Sons</t>
  </si>
  <si>
    <t>Johnson-Myers</t>
  </si>
  <si>
    <t>Reyes, Garrett and Graves</t>
  </si>
  <si>
    <t>Carpenter Group</t>
  </si>
  <si>
    <t>Bullock-Mejia</t>
  </si>
  <si>
    <t>Thomas-Santana</t>
  </si>
  <si>
    <t>Lewis-Byrd</t>
  </si>
  <si>
    <t>Richardson, Cook and Day</t>
  </si>
  <si>
    <t>Hahn PLC</t>
  </si>
  <si>
    <t>Murphy-Jimenez</t>
  </si>
  <si>
    <t>Brown-Phelps</t>
  </si>
  <si>
    <t>Stewart, Kennedy and Miller</t>
  </si>
  <si>
    <t>Salinas Inc</t>
  </si>
  <si>
    <t>Harding-Harris</t>
  </si>
  <si>
    <t>Jones, Davis and Hinton</t>
  </si>
  <si>
    <t>Page Inc</t>
  </si>
  <si>
    <t>White, Murphy and Valenzuela</t>
  </si>
  <si>
    <t>Garcia PLC</t>
  </si>
  <si>
    <t>Crawford, Wilkins and Brown</t>
  </si>
  <si>
    <t>Orozco Ltd</t>
  </si>
  <si>
    <t>Blankenship LLC</t>
  </si>
  <si>
    <t>Wright LLC</t>
  </si>
  <si>
    <t>Taylor-Stanley</t>
  </si>
  <si>
    <t>Collier Inc</t>
  </si>
  <si>
    <t>Farrell, Lopez and Rogers</t>
  </si>
  <si>
    <t>Mayo, Patterson and Barnes</t>
  </si>
  <si>
    <t>Barr Ltd</t>
  </si>
  <si>
    <t>Garcia-Gallegos</t>
  </si>
  <si>
    <t>Wood, Henry and Perkins</t>
  </si>
  <si>
    <t>Mcconnell, Bell and Miller</t>
  </si>
  <si>
    <t>Morris-Hancock</t>
  </si>
  <si>
    <t>Lamb Group</t>
  </si>
  <si>
    <t>Davila-Greer</t>
  </si>
  <si>
    <t>Santos-Jones</t>
  </si>
  <si>
    <t>Atkins-Allen</t>
  </si>
  <si>
    <t>Allen-Watkins</t>
  </si>
  <si>
    <t>Romero Ltd</t>
  </si>
  <si>
    <t>Brock, Caldwell and Nguyen</t>
  </si>
  <si>
    <t>Washington, Davis and Freeman</t>
  </si>
  <si>
    <t>Gomez, Rodgers and Baker</t>
  </si>
  <si>
    <t>Ruiz PLC</t>
  </si>
  <si>
    <t>Butler, Holt and Huber</t>
  </si>
  <si>
    <t>Stout, Hernandez and Gutierrez</t>
  </si>
  <si>
    <t>Wilson, Hogan and Nunez</t>
  </si>
  <si>
    <t>Brown Group</t>
  </si>
  <si>
    <t>Hawkins Ltd</t>
  </si>
  <si>
    <t>Patterson-Anderson</t>
  </si>
  <si>
    <t>Barrett-Martin</t>
  </si>
  <si>
    <t>Kirk-Whitaker</t>
  </si>
  <si>
    <t>Williams Ltd</t>
  </si>
  <si>
    <t>Product Manager</t>
  </si>
  <si>
    <t>Software Engineer</t>
  </si>
  <si>
    <t>Content Writer</t>
  </si>
  <si>
    <t>Marketing Associate</t>
  </si>
  <si>
    <t>Data Analyst</t>
  </si>
  <si>
    <t>Company Website</t>
  </si>
  <si>
    <t>Naukri</t>
  </si>
  <si>
    <t>LinkedIn</t>
  </si>
  <si>
    <t>Referral</t>
  </si>
  <si>
    <t>Indeed</t>
  </si>
  <si>
    <t>Interview</t>
  </si>
  <si>
    <t>Offer</t>
  </si>
  <si>
    <t>HR Round</t>
  </si>
  <si>
    <t>Final Round</t>
  </si>
  <si>
    <t>CV Screening</t>
  </si>
  <si>
    <t>Technical Round</t>
  </si>
  <si>
    <t>Online</t>
  </si>
  <si>
    <t>In-person</t>
  </si>
  <si>
    <t>Telephonic</t>
  </si>
  <si>
    <t>No</t>
  </si>
  <si>
    <t>Yes</t>
  </si>
  <si>
    <t>Application Age Category</t>
  </si>
  <si>
    <t>Grand Total</t>
  </si>
  <si>
    <t>Count of Application ID</t>
  </si>
  <si>
    <t>(All)</t>
  </si>
  <si>
    <t>Count of Offer Received</t>
  </si>
  <si>
    <t>1-2 Months Ago</t>
  </si>
  <si>
    <t>3+ Months Ago</t>
  </si>
  <si>
    <t>Within last 30 Days</t>
  </si>
  <si>
    <t>Application Age Category Numeric</t>
  </si>
  <si>
    <t>Months (Date Applied)</t>
  </si>
  <si>
    <t>Jan</t>
  </si>
  <si>
    <t>Feb</t>
  </si>
  <si>
    <t>Mar</t>
  </si>
  <si>
    <t>Apr</t>
  </si>
  <si>
    <t>May</t>
  </si>
  <si>
    <t>Jun</t>
  </si>
  <si>
    <t>Jul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</si>
</sst>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8">
    <xf numFmtId="0" fontId="0" fillId="0" borderId="0" xfId="0"/>
    <xf numFmtId="164" fontId="0" fillId="0" borderId="0" xfId="0" applyNumberFormat="1"/>
    <xf numFmtId="0" fontId="1" fillId="0" borderId="1" xfId="0" applyFont="1" applyBorder="1" applyAlignment="1">
      <alignment horizontal="center" vertical="top"/>
    </xf>
    <xf numFmtId="0" fontId="0" fillId="0" borderId="0" xfId="0" pivotButton="1"/>
    <xf numFmtId="2" fontId="1" fillId="0" borderId="1" xfId="0" applyNumberFormat="1" applyFont="1" applyBorder="1" applyAlignment="1">
      <alignment horizontal="center" vertical="top"/>
    </xf>
    <xf numFmtId="2" fontId="0" fillId="0" borderId="0" xfId="0" applyNumberFormat="1"/>
    <xf numFmtId="0" fontId="0" fillId="0" borderId="0" xfId="0" applyAlignment="1">
      <alignment horizontal="center"/>
    </xf>
    <xf numFmtId="14" fontId="1" fillId="0" borderId="1" xfId="0" applyNumberFormat="1" applyFont="1" applyBorder="1" applyAlignment="1">
      <alignment horizontal="center" vertical="top"/>
    </xf>
  </cellXfs>
  <cellStyles count="1">
    <cellStyle name="Normal" xfId="0" builtinId="0"/>
  </cellStyles>
  <dxfs count="6">
    <dxf>
      <numFmt numFmtId="0" formatCode="General"/>
      <alignment horizontal="center" vertical="bottom" textRotation="0" wrapText="0" indent="0" justifyLastLine="0" shrinkToFit="0" readingOrder="0"/>
    </dxf>
    <dxf>
      <numFmt numFmtId="2" formatCode="0.00"/>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65C0D9"/>
      <color rgb="FF1212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openxmlformats.org/officeDocument/2006/relationships/calcChain" Target="calcChain.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[Various Company's Job Application Bashboard Report.xlsx]Pivot Tables!Interview Mode Preference</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Interview Mode Preference</a:t>
            </a:r>
          </a:p>
          <a:p>
            <a:pPr>
              <a:defRPr/>
            </a:pPr>
            <a:endParaRPr lang="en-US"/>
          </a:p>
        </c:rich>
      </c:tx>
      <c:layout>
        <c:manualLayout>
          <c:xMode val="edge"/>
          <c:yMode val="edge"/>
          <c:x val="0.20487489063867015"/>
          <c:y val="9.259259259259258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strRef>
              <c:f>'Pivot Tables'!$H$4</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51A1-4E14-9826-C5A95A349BF0}"/>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51A1-4E14-9826-C5A95A349BF0}"/>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51A1-4E14-9826-C5A95A349BF0}"/>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Tables'!$G$5:$G$8</c:f>
              <c:strCache>
                <c:ptCount val="3"/>
                <c:pt idx="0">
                  <c:v>In-person</c:v>
                </c:pt>
                <c:pt idx="1">
                  <c:v>Online</c:v>
                </c:pt>
                <c:pt idx="2">
                  <c:v>Telephonic</c:v>
                </c:pt>
              </c:strCache>
            </c:strRef>
          </c:cat>
          <c:val>
            <c:numRef>
              <c:f>'Pivot Tables'!$H$5:$H$8</c:f>
              <c:numCache>
                <c:formatCode>General</c:formatCode>
                <c:ptCount val="3"/>
                <c:pt idx="0">
                  <c:v>67</c:v>
                </c:pt>
                <c:pt idx="1">
                  <c:v>75</c:v>
                </c:pt>
                <c:pt idx="2">
                  <c:v>66</c:v>
                </c:pt>
              </c:numCache>
            </c:numRef>
          </c:val>
          <c:extLst>
            <c:ext xmlns:c16="http://schemas.microsoft.com/office/drawing/2014/chart" uri="{C3380CC4-5D6E-409C-BE32-E72D297353CC}">
              <c16:uniqueId val="{00000006-51A1-4E14-9826-C5A95A349BF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3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[Various Company's Job Application Bashboard Report.xlsx]Pivot Tables!Applications by Source</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Applications By Application Sources</a:t>
            </a:r>
          </a:p>
          <a:p>
            <a:pPr>
              <a:defRPr/>
            </a:pPr>
            <a:endParaRPr lang="en-US"/>
          </a:p>
        </c:rich>
      </c:tx>
      <c:layout>
        <c:manualLayout>
          <c:xMode val="edge"/>
          <c:yMode val="edge"/>
          <c:x val="0.13954855643044622"/>
          <c:y val="3.703703703703703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Tables'!$B$15</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Tables'!$A$16:$A$21</c:f>
              <c:strCache>
                <c:ptCount val="5"/>
                <c:pt idx="0">
                  <c:v>Company Website</c:v>
                </c:pt>
                <c:pt idx="1">
                  <c:v>Indeed</c:v>
                </c:pt>
                <c:pt idx="2">
                  <c:v>LinkedIn</c:v>
                </c:pt>
                <c:pt idx="3">
                  <c:v>Naukri</c:v>
                </c:pt>
                <c:pt idx="4">
                  <c:v>Referral</c:v>
                </c:pt>
              </c:strCache>
            </c:strRef>
          </c:cat>
          <c:val>
            <c:numRef>
              <c:f>'Pivot Tables'!$B$16:$B$21</c:f>
              <c:numCache>
                <c:formatCode>General</c:formatCode>
                <c:ptCount val="5"/>
                <c:pt idx="0">
                  <c:v>46</c:v>
                </c:pt>
                <c:pt idx="1">
                  <c:v>36</c:v>
                </c:pt>
                <c:pt idx="2">
                  <c:v>38</c:v>
                </c:pt>
                <c:pt idx="3">
                  <c:v>44</c:v>
                </c:pt>
                <c:pt idx="4">
                  <c:v>44</c:v>
                </c:pt>
              </c:numCache>
            </c:numRef>
          </c:val>
          <c:extLst>
            <c:ext xmlns:c16="http://schemas.microsoft.com/office/drawing/2014/chart" uri="{C3380CC4-5D6E-409C-BE32-E72D297353CC}">
              <c16:uniqueId val="{00000000-9DCF-45E8-8201-A4C2385E7AD8}"/>
            </c:ext>
          </c:extLst>
        </c:ser>
        <c:dLbls>
          <c:dLblPos val="outEnd"/>
          <c:showLegendKey val="0"/>
          <c:showVal val="1"/>
          <c:showCatName val="0"/>
          <c:showSerName val="0"/>
          <c:showPercent val="0"/>
          <c:showBubbleSize val="0"/>
        </c:dLbls>
        <c:gapWidth val="100"/>
        <c:overlap val="-24"/>
        <c:axId val="1349367312"/>
        <c:axId val="1349371152"/>
      </c:barChart>
      <c:catAx>
        <c:axId val="134936731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Application Sources</a:t>
                </a:r>
              </a:p>
              <a:p>
                <a:pPr>
                  <a:defRPr/>
                </a:pPr>
                <a:endParaRPr lang="en-IN"/>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49371152"/>
        <c:crosses val="autoZero"/>
        <c:auto val="1"/>
        <c:lblAlgn val="ctr"/>
        <c:lblOffset val="100"/>
        <c:noMultiLvlLbl val="0"/>
      </c:catAx>
      <c:valAx>
        <c:axId val="134937115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Count of Application IDs</a:t>
                </a:r>
              </a:p>
            </c:rich>
          </c:tx>
          <c:layout>
            <c:manualLayout>
              <c:xMode val="edge"/>
              <c:yMode val="edge"/>
              <c:x val="1.6666666666666666E-2"/>
              <c:y val="0.29004192184310296"/>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49367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[Various Company's Job Application Bashboard Report.xlsx]Pivot Tables!Applications by Age Category</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Applications By Age Category</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Tables'!$H$18</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Tables'!$G$19:$G$22</c:f>
              <c:strCache>
                <c:ptCount val="3"/>
                <c:pt idx="0">
                  <c:v>1-2 Months Ago</c:v>
                </c:pt>
                <c:pt idx="1">
                  <c:v>3+ Months Ago</c:v>
                </c:pt>
                <c:pt idx="2">
                  <c:v>Within last 30 Days</c:v>
                </c:pt>
              </c:strCache>
            </c:strRef>
          </c:cat>
          <c:val>
            <c:numRef>
              <c:f>'Pivot Tables'!$H$19:$H$22</c:f>
              <c:numCache>
                <c:formatCode>General</c:formatCode>
                <c:ptCount val="3"/>
                <c:pt idx="0">
                  <c:v>32</c:v>
                </c:pt>
                <c:pt idx="1">
                  <c:v>141</c:v>
                </c:pt>
                <c:pt idx="2">
                  <c:v>35</c:v>
                </c:pt>
              </c:numCache>
            </c:numRef>
          </c:val>
          <c:extLst>
            <c:ext xmlns:c16="http://schemas.microsoft.com/office/drawing/2014/chart" uri="{C3380CC4-5D6E-409C-BE32-E72D297353CC}">
              <c16:uniqueId val="{00000000-F241-4EDE-B955-56630DB46B8E}"/>
            </c:ext>
          </c:extLst>
        </c:ser>
        <c:dLbls>
          <c:dLblPos val="outEnd"/>
          <c:showLegendKey val="0"/>
          <c:showVal val="1"/>
          <c:showCatName val="0"/>
          <c:showSerName val="0"/>
          <c:showPercent val="0"/>
          <c:showBubbleSize val="0"/>
        </c:dLbls>
        <c:gapWidth val="100"/>
        <c:overlap val="-24"/>
        <c:axId val="1614937168"/>
        <c:axId val="1614942928"/>
      </c:barChart>
      <c:catAx>
        <c:axId val="16149371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14942928"/>
        <c:crosses val="autoZero"/>
        <c:auto val="1"/>
        <c:lblAlgn val="ctr"/>
        <c:lblOffset val="100"/>
        <c:noMultiLvlLbl val="0"/>
      </c:catAx>
      <c:valAx>
        <c:axId val="161494292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14937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[Various Company's Job Application Bashboard Report.xlsx]Pivot Tables!Offers By Role</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Job Roles Chart</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Tables'!$B$29</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Tables'!$A$30:$A$35</c:f>
              <c:strCache>
                <c:ptCount val="5"/>
                <c:pt idx="0">
                  <c:v>Content Writer</c:v>
                </c:pt>
                <c:pt idx="1">
                  <c:v>Data Analyst</c:v>
                </c:pt>
                <c:pt idx="2">
                  <c:v>Marketing Associate</c:v>
                </c:pt>
                <c:pt idx="3">
                  <c:v>Product Manager</c:v>
                </c:pt>
                <c:pt idx="4">
                  <c:v>Software Engineer</c:v>
                </c:pt>
              </c:strCache>
            </c:strRef>
          </c:cat>
          <c:val>
            <c:numRef>
              <c:f>'Pivot Tables'!$B$30:$B$35</c:f>
              <c:numCache>
                <c:formatCode>General</c:formatCode>
                <c:ptCount val="5"/>
                <c:pt idx="0">
                  <c:v>39</c:v>
                </c:pt>
                <c:pt idx="1">
                  <c:v>42</c:v>
                </c:pt>
                <c:pt idx="2">
                  <c:v>43</c:v>
                </c:pt>
                <c:pt idx="3">
                  <c:v>41</c:v>
                </c:pt>
                <c:pt idx="4">
                  <c:v>43</c:v>
                </c:pt>
              </c:numCache>
            </c:numRef>
          </c:val>
          <c:extLst>
            <c:ext xmlns:c16="http://schemas.microsoft.com/office/drawing/2014/chart" uri="{C3380CC4-5D6E-409C-BE32-E72D297353CC}">
              <c16:uniqueId val="{00000000-F3F4-4134-94DD-7D728460C258}"/>
            </c:ext>
          </c:extLst>
        </c:ser>
        <c:dLbls>
          <c:dLblPos val="outEnd"/>
          <c:showLegendKey val="0"/>
          <c:showVal val="1"/>
          <c:showCatName val="0"/>
          <c:showSerName val="0"/>
          <c:showPercent val="0"/>
          <c:showBubbleSize val="0"/>
        </c:dLbls>
        <c:gapWidth val="115"/>
        <c:overlap val="-20"/>
        <c:axId val="1614931888"/>
        <c:axId val="1614931408"/>
      </c:barChart>
      <c:catAx>
        <c:axId val="161493188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14931408"/>
        <c:crosses val="autoZero"/>
        <c:auto val="1"/>
        <c:lblAlgn val="ctr"/>
        <c:lblOffset val="100"/>
        <c:noMultiLvlLbl val="0"/>
      </c:catAx>
      <c:valAx>
        <c:axId val="161493140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14931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Stage Reached Analysis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Series1</c:v>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Lit>
              <c:ptCount val="4"/>
              <c:pt idx="0">
                <c:v>CV Screening</c:v>
              </c:pt>
              <c:pt idx="1">
                <c:v>Final Round</c:v>
              </c:pt>
              <c:pt idx="2">
                <c:v>HR Round</c:v>
              </c:pt>
              <c:pt idx="3">
                <c:v>Technical Round</c:v>
              </c:pt>
            </c:strLit>
          </c:cat>
          <c:val>
            <c:numLit>
              <c:formatCode>General</c:formatCode>
              <c:ptCount val="4"/>
              <c:pt idx="0">
                <c:v>56</c:v>
              </c:pt>
              <c:pt idx="1">
                <c:v>51</c:v>
              </c:pt>
              <c:pt idx="2">
                <c:v>54</c:v>
              </c:pt>
              <c:pt idx="3">
                <c:v>47</c:v>
              </c:pt>
            </c:numLit>
          </c:val>
          <c:extLst>
            <c:ext xmlns:c16="http://schemas.microsoft.com/office/drawing/2014/chart" uri="{C3380CC4-5D6E-409C-BE32-E72D297353CC}">
              <c16:uniqueId val="{00000000-9CF7-454D-AB2D-1EFF5297D3D1}"/>
            </c:ext>
          </c:extLst>
        </c:ser>
        <c:dLbls>
          <c:showLegendKey val="0"/>
          <c:showVal val="0"/>
          <c:showCatName val="0"/>
          <c:showSerName val="0"/>
          <c:showPercent val="0"/>
          <c:showBubbleSize val="0"/>
        </c:dLbls>
        <c:gapWidth val="100"/>
        <c:overlap val="-24"/>
        <c:axId val="1928447439"/>
        <c:axId val="1928444079"/>
      </c:barChart>
      <c:catAx>
        <c:axId val="192844743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8444079"/>
        <c:crosses val="autoZero"/>
        <c:auto val="1"/>
        <c:lblAlgn val="ctr"/>
        <c:lblOffset val="100"/>
        <c:noMultiLvlLbl val="0"/>
      </c:catAx>
      <c:valAx>
        <c:axId val="192844407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8447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Interview and Offer Month-wise Analysis</a:t>
            </a:r>
          </a:p>
          <a:p>
            <a:pPr>
              <a:defRPr/>
            </a:pPr>
            <a:endParaRPr lang="en-IN"/>
          </a:p>
        </c:rich>
      </c:tx>
      <c:layout>
        <c:manualLayout>
          <c:xMode val="edge"/>
          <c:yMode val="edge"/>
          <c:x val="0.17059373784144"/>
          <c:y val="4.166666666666666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Interview</c:v>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Lit>
              <c:ptCount val="7"/>
              <c:pt idx="0">
                <c:v>Jan</c:v>
              </c:pt>
              <c:pt idx="1">
                <c:v>Feb</c:v>
              </c:pt>
              <c:pt idx="2">
                <c:v>Mar</c:v>
              </c:pt>
              <c:pt idx="3">
                <c:v>Apr</c:v>
              </c:pt>
              <c:pt idx="4">
                <c:v>May</c:v>
              </c:pt>
              <c:pt idx="5">
                <c:v>Jun</c:v>
              </c:pt>
              <c:pt idx="6">
                <c:v>Jul</c:v>
              </c:pt>
            </c:strLit>
          </c:cat>
          <c:val>
            <c:numLit>
              <c:formatCode>General</c:formatCode>
              <c:ptCount val="7"/>
              <c:pt idx="0">
                <c:v>14</c:v>
              </c:pt>
              <c:pt idx="1">
                <c:v>30</c:v>
              </c:pt>
              <c:pt idx="2">
                <c:v>26</c:v>
              </c:pt>
              <c:pt idx="3">
                <c:v>20</c:v>
              </c:pt>
              <c:pt idx="4">
                <c:v>24</c:v>
              </c:pt>
              <c:pt idx="5">
                <c:v>20</c:v>
              </c:pt>
              <c:pt idx="6">
                <c:v>17</c:v>
              </c:pt>
            </c:numLit>
          </c:val>
          <c:smooth val="0"/>
          <c:extLst>
            <c:ext xmlns:c16="http://schemas.microsoft.com/office/drawing/2014/chart" uri="{C3380CC4-5D6E-409C-BE32-E72D297353CC}">
              <c16:uniqueId val="{00000000-AA4D-4247-8F0A-F127E34755E4}"/>
            </c:ext>
          </c:extLst>
        </c:ser>
        <c:ser>
          <c:idx val="1"/>
          <c:order val="1"/>
          <c:tx>
            <c:v>Offer</c:v>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Lit>
              <c:ptCount val="7"/>
              <c:pt idx="0">
                <c:v>Jan</c:v>
              </c:pt>
              <c:pt idx="1">
                <c:v>Feb</c:v>
              </c:pt>
              <c:pt idx="2">
                <c:v>Mar</c:v>
              </c:pt>
              <c:pt idx="3">
                <c:v>Apr</c:v>
              </c:pt>
              <c:pt idx="4">
                <c:v>May</c:v>
              </c:pt>
              <c:pt idx="5">
                <c:v>Jun</c:v>
              </c:pt>
              <c:pt idx="6">
                <c:v>Jul</c:v>
              </c:pt>
            </c:strLit>
          </c:cat>
          <c:val>
            <c:numLit>
              <c:formatCode>General</c:formatCode>
              <c:ptCount val="7"/>
              <c:pt idx="0">
                <c:v>8</c:v>
              </c:pt>
              <c:pt idx="1">
                <c:v>10</c:v>
              </c:pt>
              <c:pt idx="2">
                <c:v>10</c:v>
              </c:pt>
              <c:pt idx="3">
                <c:v>7</c:v>
              </c:pt>
              <c:pt idx="4">
                <c:v>11</c:v>
              </c:pt>
              <c:pt idx="5">
                <c:v>6</c:v>
              </c:pt>
              <c:pt idx="6">
                <c:v>5</c:v>
              </c:pt>
            </c:numLit>
          </c:val>
          <c:smooth val="0"/>
          <c:extLst>
            <c:ext xmlns:c16="http://schemas.microsoft.com/office/drawing/2014/chart" uri="{C3380CC4-5D6E-409C-BE32-E72D297353CC}">
              <c16:uniqueId val="{00000001-AA4D-4247-8F0A-F127E34755E4}"/>
            </c:ext>
          </c:extLst>
        </c:ser>
        <c:dLbls>
          <c:showLegendKey val="0"/>
          <c:showVal val="0"/>
          <c:showCatName val="0"/>
          <c:showSerName val="0"/>
          <c:showPercent val="0"/>
          <c:showBubbleSize val="0"/>
        </c:dLbls>
        <c:marker val="1"/>
        <c:smooth val="0"/>
        <c:axId val="1679453631"/>
        <c:axId val="1679454111"/>
      </c:lineChart>
      <c:catAx>
        <c:axId val="167945363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9454111"/>
        <c:crosses val="autoZero"/>
        <c:auto val="1"/>
        <c:lblAlgn val="ctr"/>
        <c:lblOffset val="100"/>
        <c:noMultiLvlLbl val="0"/>
      </c:catAx>
      <c:valAx>
        <c:axId val="167945411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9453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[Various Company's Job Application Bashboard Report.xlsx]Pivot Tables!Applications by Company Name</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Applications by Company Name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Tables'!$H$32</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Tables'!$G$33:$G$239</c:f>
              <c:strCache>
                <c:ptCount val="206"/>
                <c:pt idx="0">
                  <c:v>Allen-Watkins</c:v>
                </c:pt>
                <c:pt idx="1">
                  <c:v>Allison, West and Harrison</c:v>
                </c:pt>
                <c:pt idx="2">
                  <c:v>Anderson PLC</c:v>
                </c:pt>
                <c:pt idx="3">
                  <c:v>Anderson, Mills and Blake</c:v>
                </c:pt>
                <c:pt idx="4">
                  <c:v>Arellano-Sloan</c:v>
                </c:pt>
                <c:pt idx="5">
                  <c:v>Atkins-Allen</c:v>
                </c:pt>
                <c:pt idx="6">
                  <c:v>Atkins-Davis</c:v>
                </c:pt>
                <c:pt idx="7">
                  <c:v>Austin-Harris</c:v>
                </c:pt>
                <c:pt idx="8">
                  <c:v>Baker-Duke</c:v>
                </c:pt>
                <c:pt idx="9">
                  <c:v>Ball LLC</c:v>
                </c:pt>
                <c:pt idx="10">
                  <c:v>Barr Ltd</c:v>
                </c:pt>
                <c:pt idx="11">
                  <c:v>Barrett-Martin</c:v>
                </c:pt>
                <c:pt idx="12">
                  <c:v>Bates-Wilkins</c:v>
                </c:pt>
                <c:pt idx="13">
                  <c:v>Bell, Sparks and Hunter</c:v>
                </c:pt>
                <c:pt idx="14">
                  <c:v>Bell-Solis</c:v>
                </c:pt>
                <c:pt idx="15">
                  <c:v>Blankenship LLC</c:v>
                </c:pt>
                <c:pt idx="16">
                  <c:v>Blankenship-Kennedy</c:v>
                </c:pt>
                <c:pt idx="17">
                  <c:v>Bridges PLC</c:v>
                </c:pt>
                <c:pt idx="18">
                  <c:v>Bright-Fleming</c:v>
                </c:pt>
                <c:pt idx="19">
                  <c:v>Brock, Caldwell and Nguyen</c:v>
                </c:pt>
                <c:pt idx="20">
                  <c:v>Brown Group</c:v>
                </c:pt>
                <c:pt idx="21">
                  <c:v>Brown-Phelps</c:v>
                </c:pt>
                <c:pt idx="22">
                  <c:v>Bullock-Mejia</c:v>
                </c:pt>
                <c:pt idx="23">
                  <c:v>Burgess, Taylor and Wilson</c:v>
                </c:pt>
                <c:pt idx="24">
                  <c:v>Butler, Holt and Huber</c:v>
                </c:pt>
                <c:pt idx="25">
                  <c:v>Cabrera-Mccormick</c:v>
                </c:pt>
                <c:pt idx="26">
                  <c:v>Campbell and Sons</c:v>
                </c:pt>
                <c:pt idx="27">
                  <c:v>Carpenter Group</c:v>
                </c:pt>
                <c:pt idx="28">
                  <c:v>Carpenter, Flynn and Macias</c:v>
                </c:pt>
                <c:pt idx="29">
                  <c:v>Carroll-Martin</c:v>
                </c:pt>
                <c:pt idx="30">
                  <c:v>Carter, Williams and Cox</c:v>
                </c:pt>
                <c:pt idx="31">
                  <c:v>Chandler and Sons</c:v>
                </c:pt>
                <c:pt idx="32">
                  <c:v>Chapman Ltd</c:v>
                </c:pt>
                <c:pt idx="33">
                  <c:v>Church, Gardner and Farrell</c:v>
                </c:pt>
                <c:pt idx="34">
                  <c:v>Cochran and Sons</c:v>
                </c:pt>
                <c:pt idx="35">
                  <c:v>Coleman Ltd</c:v>
                </c:pt>
                <c:pt idx="36">
                  <c:v>Coleman-Washington</c:v>
                </c:pt>
                <c:pt idx="37">
                  <c:v>Collier Inc</c:v>
                </c:pt>
                <c:pt idx="38">
                  <c:v>Contreras Ltd</c:v>
                </c:pt>
                <c:pt idx="39">
                  <c:v>Cooper-Carter</c:v>
                </c:pt>
                <c:pt idx="40">
                  <c:v>Crawford, Wilkins and Brown</c:v>
                </c:pt>
                <c:pt idx="41">
                  <c:v>Cruz, Kim and Morales</c:v>
                </c:pt>
                <c:pt idx="42">
                  <c:v>Davila-Greer</c:v>
                </c:pt>
                <c:pt idx="43">
                  <c:v>Davis, Vasquez and Stephens</c:v>
                </c:pt>
                <c:pt idx="44">
                  <c:v>Douglas, Norman and Hill</c:v>
                </c:pt>
                <c:pt idx="45">
                  <c:v>Drake-Mitchell</c:v>
                </c:pt>
                <c:pt idx="46">
                  <c:v>Elliott, Chan and Jacobs</c:v>
                </c:pt>
                <c:pt idx="47">
                  <c:v>Elliott, Johnson and Alvarez</c:v>
                </c:pt>
                <c:pt idx="48">
                  <c:v>Elliott, Ramos and Hickman</c:v>
                </c:pt>
                <c:pt idx="49">
                  <c:v>Ellis-Dickson</c:v>
                </c:pt>
                <c:pt idx="50">
                  <c:v>Erickson Ltd</c:v>
                </c:pt>
                <c:pt idx="51">
                  <c:v>Farrell, Lopez and Rogers</c:v>
                </c:pt>
                <c:pt idx="52">
                  <c:v>Fernandez, Thompson and Stone</c:v>
                </c:pt>
                <c:pt idx="53">
                  <c:v>Flores-Mcdonald</c:v>
                </c:pt>
                <c:pt idx="54">
                  <c:v>Flores-Phillips</c:v>
                </c:pt>
                <c:pt idx="55">
                  <c:v>Fowler, Mccullough and Thomas</c:v>
                </c:pt>
                <c:pt idx="56">
                  <c:v>Fry, Edwards and Lawson</c:v>
                </c:pt>
                <c:pt idx="57">
                  <c:v>Garcia LLC</c:v>
                </c:pt>
                <c:pt idx="58">
                  <c:v>Garcia PLC</c:v>
                </c:pt>
                <c:pt idx="59">
                  <c:v>Garcia-Cruz</c:v>
                </c:pt>
                <c:pt idx="60">
                  <c:v>Garcia-Gallegos</c:v>
                </c:pt>
                <c:pt idx="61">
                  <c:v>Garner PLC</c:v>
                </c:pt>
                <c:pt idx="62">
                  <c:v>Gay Ltd</c:v>
                </c:pt>
                <c:pt idx="63">
                  <c:v>Gibson, Zamora and Brown</c:v>
                </c:pt>
                <c:pt idx="64">
                  <c:v>Gilmore PLC</c:v>
                </c:pt>
                <c:pt idx="65">
                  <c:v>Gomez PLC</c:v>
                </c:pt>
                <c:pt idx="66">
                  <c:v>Gomez, Rodgers and Baker</c:v>
                </c:pt>
                <c:pt idx="67">
                  <c:v>Gonzalez Group</c:v>
                </c:pt>
                <c:pt idx="68">
                  <c:v>Gonzalez Inc</c:v>
                </c:pt>
                <c:pt idx="69">
                  <c:v>Gonzalez, Navarro and Castro</c:v>
                </c:pt>
                <c:pt idx="70">
                  <c:v>Gray-Wilson</c:v>
                </c:pt>
                <c:pt idx="71">
                  <c:v>Hahn PLC</c:v>
                </c:pt>
                <c:pt idx="72">
                  <c:v>Hamilton, Robertson and Ellison</c:v>
                </c:pt>
                <c:pt idx="73">
                  <c:v>Harding Inc</c:v>
                </c:pt>
                <c:pt idx="74">
                  <c:v>Harding-Harris</c:v>
                </c:pt>
                <c:pt idx="75">
                  <c:v>Harris Inc</c:v>
                </c:pt>
                <c:pt idx="76">
                  <c:v>Hawkins Ltd</c:v>
                </c:pt>
                <c:pt idx="77">
                  <c:v>Hayes, Murillo and Montoya</c:v>
                </c:pt>
                <c:pt idx="78">
                  <c:v>Hernandez Inc</c:v>
                </c:pt>
                <c:pt idx="79">
                  <c:v>Herrera-Nelson</c:v>
                </c:pt>
                <c:pt idx="80">
                  <c:v>Hester-Powers</c:v>
                </c:pt>
                <c:pt idx="81">
                  <c:v>Hester-Watkins</c:v>
                </c:pt>
                <c:pt idx="82">
                  <c:v>Hines-Moreno</c:v>
                </c:pt>
                <c:pt idx="83">
                  <c:v>Holloway-Nguyen</c:v>
                </c:pt>
                <c:pt idx="84">
                  <c:v>Hudson, Roman and Larsen</c:v>
                </c:pt>
                <c:pt idx="85">
                  <c:v>Ibarra Inc</c:v>
                </c:pt>
                <c:pt idx="86">
                  <c:v>Jackson LLC</c:v>
                </c:pt>
                <c:pt idx="87">
                  <c:v>Jackson, Welch and Thomas</c:v>
                </c:pt>
                <c:pt idx="88">
                  <c:v>Jackson-Simpson</c:v>
                </c:pt>
                <c:pt idx="89">
                  <c:v>Jacobs, Haynes and Sampson</c:v>
                </c:pt>
                <c:pt idx="90">
                  <c:v>James, Hall and Carter</c:v>
                </c:pt>
                <c:pt idx="91">
                  <c:v>Johnson Inc</c:v>
                </c:pt>
                <c:pt idx="92">
                  <c:v>Johnson-Myers</c:v>
                </c:pt>
                <c:pt idx="93">
                  <c:v>Jones and Sons</c:v>
                </c:pt>
                <c:pt idx="94">
                  <c:v>Jones, Davis and Hinton</c:v>
                </c:pt>
                <c:pt idx="95">
                  <c:v>Jones, Kelley and Wallace</c:v>
                </c:pt>
                <c:pt idx="96">
                  <c:v>Jones, Watkins and Lee</c:v>
                </c:pt>
                <c:pt idx="97">
                  <c:v>Jones-Bridges</c:v>
                </c:pt>
                <c:pt idx="98">
                  <c:v>Kennedy Inc</c:v>
                </c:pt>
                <c:pt idx="99">
                  <c:v>Kim-Salazar</c:v>
                </c:pt>
                <c:pt idx="100">
                  <c:v>King Ltd</c:v>
                </c:pt>
                <c:pt idx="101">
                  <c:v>Kirk-Whitaker</c:v>
                </c:pt>
                <c:pt idx="102">
                  <c:v>Klein Ltd</c:v>
                </c:pt>
                <c:pt idx="103">
                  <c:v>Lamb Group</c:v>
                </c:pt>
                <c:pt idx="104">
                  <c:v>Lee Group</c:v>
                </c:pt>
                <c:pt idx="105">
                  <c:v>Lee, Martinez and Garner</c:v>
                </c:pt>
                <c:pt idx="106">
                  <c:v>Leon Group</c:v>
                </c:pt>
                <c:pt idx="107">
                  <c:v>Lewis-Byrd</c:v>
                </c:pt>
                <c:pt idx="108">
                  <c:v>Lloyd-Johnson</c:v>
                </c:pt>
                <c:pt idx="109">
                  <c:v>Lutz, Kim and Booth</c:v>
                </c:pt>
                <c:pt idx="110">
                  <c:v>Marquez, Mann and Johnson</c:v>
                </c:pt>
                <c:pt idx="111">
                  <c:v>Martin-Wilson</c:v>
                </c:pt>
                <c:pt idx="112">
                  <c:v>Mayo, Patterson and Barnes</c:v>
                </c:pt>
                <c:pt idx="113">
                  <c:v>Mcconnell, Bell and Miller</c:v>
                </c:pt>
                <c:pt idx="114">
                  <c:v>Mcmahon-Avila</c:v>
                </c:pt>
                <c:pt idx="115">
                  <c:v>Meyer, Rodriguez and Wright</c:v>
                </c:pt>
                <c:pt idx="116">
                  <c:v>Mitchell, Rice and Hodges</c:v>
                </c:pt>
                <c:pt idx="117">
                  <c:v>Monroe, Smith and Perry</c:v>
                </c:pt>
                <c:pt idx="118">
                  <c:v>Montgomery Group</c:v>
                </c:pt>
                <c:pt idx="119">
                  <c:v>Moore LLC</c:v>
                </c:pt>
                <c:pt idx="120">
                  <c:v>Moore-Jones</c:v>
                </c:pt>
                <c:pt idx="121">
                  <c:v>Morris-Hancock</c:v>
                </c:pt>
                <c:pt idx="122">
                  <c:v>Munoz Ltd</c:v>
                </c:pt>
                <c:pt idx="123">
                  <c:v>Murphy PLC</c:v>
                </c:pt>
                <c:pt idx="124">
                  <c:v>Murphy-Jimenez</c:v>
                </c:pt>
                <c:pt idx="125">
                  <c:v>Nash-Tyler</c:v>
                </c:pt>
                <c:pt idx="126">
                  <c:v>Nelson-Pacheco</c:v>
                </c:pt>
                <c:pt idx="127">
                  <c:v>Orozco Ltd</c:v>
                </c:pt>
                <c:pt idx="128">
                  <c:v>Ortega-Jones</c:v>
                </c:pt>
                <c:pt idx="129">
                  <c:v>Ortiz, Mitchell and Mullins</c:v>
                </c:pt>
                <c:pt idx="130">
                  <c:v>Osborn, Gibson and Richard</c:v>
                </c:pt>
                <c:pt idx="131">
                  <c:v>Padilla Ltd</c:v>
                </c:pt>
                <c:pt idx="132">
                  <c:v>Page Inc</c:v>
                </c:pt>
                <c:pt idx="133">
                  <c:v>Patterson-Anderson</c:v>
                </c:pt>
                <c:pt idx="134">
                  <c:v>Patton-Carney</c:v>
                </c:pt>
                <c:pt idx="135">
                  <c:v>Peterson Group</c:v>
                </c:pt>
                <c:pt idx="136">
                  <c:v>Peterson, Hill and Jones</c:v>
                </c:pt>
                <c:pt idx="137">
                  <c:v>Phelps-Callahan</c:v>
                </c:pt>
                <c:pt idx="138">
                  <c:v>Phillips, Noble and Tran</c:v>
                </c:pt>
                <c:pt idx="139">
                  <c:v>Potter-Callahan</c:v>
                </c:pt>
                <c:pt idx="140">
                  <c:v>Potts-Marquez</c:v>
                </c:pt>
                <c:pt idx="141">
                  <c:v>Powell-Jennings</c:v>
                </c:pt>
                <c:pt idx="142">
                  <c:v>Ramirez Ltd</c:v>
                </c:pt>
                <c:pt idx="143">
                  <c:v>Reyes, Garrett and Graves</c:v>
                </c:pt>
                <c:pt idx="144">
                  <c:v>Richardson, Cook and Day</c:v>
                </c:pt>
                <c:pt idx="145">
                  <c:v>Rivera Group</c:v>
                </c:pt>
                <c:pt idx="146">
                  <c:v>Robbins, Murray and Garrett</c:v>
                </c:pt>
                <c:pt idx="147">
                  <c:v>Roberts PLC</c:v>
                </c:pt>
                <c:pt idx="148">
                  <c:v>Rodriguez, Jackson and Miller</c:v>
                </c:pt>
                <c:pt idx="149">
                  <c:v>Rodriguez, Schultz and Russell</c:v>
                </c:pt>
                <c:pt idx="150">
                  <c:v>Romero Ltd</c:v>
                </c:pt>
                <c:pt idx="151">
                  <c:v>Ruiz PLC</c:v>
                </c:pt>
                <c:pt idx="152">
                  <c:v>Ruiz, Smith and Graves</c:v>
                </c:pt>
                <c:pt idx="153">
                  <c:v>Salinas Inc</c:v>
                </c:pt>
                <c:pt idx="154">
                  <c:v>Sanchez, Salinas and Harrington</c:v>
                </c:pt>
                <c:pt idx="155">
                  <c:v>Sanders-Cherry</c:v>
                </c:pt>
                <c:pt idx="156">
                  <c:v>Santos-Jones</c:v>
                </c:pt>
                <c:pt idx="157">
                  <c:v>Schneider-Rowland</c:v>
                </c:pt>
                <c:pt idx="158">
                  <c:v>Shelton-Contreras</c:v>
                </c:pt>
                <c:pt idx="159">
                  <c:v>Simpson and Sons</c:v>
                </c:pt>
                <c:pt idx="160">
                  <c:v>Smith Group</c:v>
                </c:pt>
                <c:pt idx="161">
                  <c:v>Smith Ltd</c:v>
                </c:pt>
                <c:pt idx="162">
                  <c:v>Smith PLC</c:v>
                </c:pt>
                <c:pt idx="163">
                  <c:v>Smith-Wilcox</c:v>
                </c:pt>
                <c:pt idx="164">
                  <c:v>Snow, Baird and Gregory</c:v>
                </c:pt>
                <c:pt idx="165">
                  <c:v>Spencer PLC</c:v>
                </c:pt>
                <c:pt idx="166">
                  <c:v>Spencer-Mendez</c:v>
                </c:pt>
                <c:pt idx="167">
                  <c:v>Steele-Carter</c:v>
                </c:pt>
                <c:pt idx="168">
                  <c:v>Stewart, Kennedy and Miller</c:v>
                </c:pt>
                <c:pt idx="169">
                  <c:v>Stokes Inc</c:v>
                </c:pt>
                <c:pt idx="170">
                  <c:v>Stout, Hernandez and Gutierrez</c:v>
                </c:pt>
                <c:pt idx="171">
                  <c:v>Sullivan and Sons</c:v>
                </c:pt>
                <c:pt idx="172">
                  <c:v>Sullivan-Gray</c:v>
                </c:pt>
                <c:pt idx="173">
                  <c:v>Taylor, Brock and Miller</c:v>
                </c:pt>
                <c:pt idx="174">
                  <c:v>Taylor-Stanley</c:v>
                </c:pt>
                <c:pt idx="175">
                  <c:v>Thomas Ltd</c:v>
                </c:pt>
                <c:pt idx="176">
                  <c:v>Thomas-Santana</c:v>
                </c:pt>
                <c:pt idx="177">
                  <c:v>Thompson-Walter</c:v>
                </c:pt>
                <c:pt idx="178">
                  <c:v>Torres, Rodriguez and Gonzalez</c:v>
                </c:pt>
                <c:pt idx="179">
                  <c:v>Tucker, Villegas and Mills</c:v>
                </c:pt>
                <c:pt idx="180">
                  <c:v>Turner, Thomas and Carpenter</c:v>
                </c:pt>
                <c:pt idx="181">
                  <c:v>Vasquez-Reed</c:v>
                </c:pt>
                <c:pt idx="182">
                  <c:v>Velasquez, Bowman and Smith</c:v>
                </c:pt>
                <c:pt idx="183">
                  <c:v>Villarreal, Weaver and Gibbs</c:v>
                </c:pt>
                <c:pt idx="184">
                  <c:v>Walker and Sons</c:v>
                </c:pt>
                <c:pt idx="185">
                  <c:v>Warren and Sons</c:v>
                </c:pt>
                <c:pt idx="186">
                  <c:v>Washington, Davis and Freeman</c:v>
                </c:pt>
                <c:pt idx="187">
                  <c:v>Weber-Bennett</c:v>
                </c:pt>
                <c:pt idx="188">
                  <c:v>Webster, Hamilton and Reed</c:v>
                </c:pt>
                <c:pt idx="189">
                  <c:v>Wheeler-Patel</c:v>
                </c:pt>
                <c:pt idx="190">
                  <c:v>White Inc</c:v>
                </c:pt>
                <c:pt idx="191">
                  <c:v>White Ltd</c:v>
                </c:pt>
                <c:pt idx="192">
                  <c:v>White, Murphy and Valenzuela</c:v>
                </c:pt>
                <c:pt idx="193">
                  <c:v>Williams Ltd</c:v>
                </c:pt>
                <c:pt idx="194">
                  <c:v>Wilson, Hogan and Nunez</c:v>
                </c:pt>
                <c:pt idx="195">
                  <c:v>Wilson-Bowman</c:v>
                </c:pt>
                <c:pt idx="196">
                  <c:v>Wilson-Buckley</c:v>
                </c:pt>
                <c:pt idx="197">
                  <c:v>Wolfe-Patterson</c:v>
                </c:pt>
                <c:pt idx="198">
                  <c:v>Wood Inc</c:v>
                </c:pt>
                <c:pt idx="199">
                  <c:v>Wood, Henry and Perkins</c:v>
                </c:pt>
                <c:pt idx="200">
                  <c:v>Wood-Johnson</c:v>
                </c:pt>
                <c:pt idx="201">
                  <c:v>Wright LLC</c:v>
                </c:pt>
                <c:pt idx="202">
                  <c:v>Wright-Johnston</c:v>
                </c:pt>
                <c:pt idx="203">
                  <c:v>Wyatt-Jones</c:v>
                </c:pt>
                <c:pt idx="204">
                  <c:v>Yates-Rowland</c:v>
                </c:pt>
                <c:pt idx="205">
                  <c:v>Zimmerman, Atkins and Cross</c:v>
                </c:pt>
              </c:strCache>
            </c:strRef>
          </c:cat>
          <c:val>
            <c:numRef>
              <c:f>'Pivot Tables'!$H$33:$H$239</c:f>
              <c:numCache>
                <c:formatCode>General</c:formatCode>
                <c:ptCount val="206"/>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2</c:v>
                </c:pt>
                <c:pt idx="68">
                  <c:v>1</c:v>
                </c:pt>
                <c:pt idx="69">
                  <c:v>1</c:v>
                </c:pt>
                <c:pt idx="70">
                  <c:v>1</c:v>
                </c:pt>
                <c:pt idx="71">
                  <c:v>1</c:v>
                </c:pt>
                <c:pt idx="72">
                  <c:v>1</c:v>
                </c:pt>
                <c:pt idx="73">
                  <c:v>1</c:v>
                </c:pt>
                <c:pt idx="74">
                  <c:v>1</c:v>
                </c:pt>
                <c:pt idx="75">
                  <c:v>1</c:v>
                </c:pt>
                <c:pt idx="76">
                  <c:v>1</c:v>
                </c:pt>
                <c:pt idx="77">
                  <c:v>1</c:v>
                </c:pt>
                <c:pt idx="78">
                  <c:v>1</c:v>
                </c:pt>
                <c:pt idx="79">
                  <c:v>1</c:v>
                </c:pt>
                <c:pt idx="80">
                  <c:v>1</c:v>
                </c:pt>
                <c:pt idx="81">
                  <c:v>1</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1</c:v>
                </c:pt>
                <c:pt idx="100">
                  <c:v>1</c:v>
                </c:pt>
                <c:pt idx="101">
                  <c:v>1</c:v>
                </c:pt>
                <c:pt idx="102">
                  <c:v>1</c:v>
                </c:pt>
                <c:pt idx="103">
                  <c:v>1</c:v>
                </c:pt>
                <c:pt idx="104">
                  <c:v>1</c:v>
                </c:pt>
                <c:pt idx="105">
                  <c:v>1</c:v>
                </c:pt>
                <c:pt idx="106">
                  <c:v>1</c:v>
                </c:pt>
                <c:pt idx="107">
                  <c:v>1</c:v>
                </c:pt>
                <c:pt idx="108">
                  <c:v>1</c:v>
                </c:pt>
                <c:pt idx="109">
                  <c:v>1</c:v>
                </c:pt>
                <c:pt idx="110">
                  <c:v>1</c:v>
                </c:pt>
                <c:pt idx="111">
                  <c:v>1</c:v>
                </c:pt>
                <c:pt idx="112">
                  <c:v>1</c:v>
                </c:pt>
                <c:pt idx="113">
                  <c:v>1</c:v>
                </c:pt>
                <c:pt idx="114">
                  <c:v>1</c:v>
                </c:pt>
                <c:pt idx="115">
                  <c:v>1</c:v>
                </c:pt>
                <c:pt idx="116">
                  <c:v>1</c:v>
                </c:pt>
                <c:pt idx="117">
                  <c:v>1</c:v>
                </c:pt>
                <c:pt idx="118">
                  <c:v>1</c:v>
                </c:pt>
                <c:pt idx="119">
                  <c:v>1</c:v>
                </c:pt>
                <c:pt idx="120">
                  <c:v>1</c:v>
                </c:pt>
                <c:pt idx="121">
                  <c:v>1</c:v>
                </c:pt>
                <c:pt idx="122">
                  <c:v>1</c:v>
                </c:pt>
                <c:pt idx="123">
                  <c:v>2</c:v>
                </c:pt>
                <c:pt idx="124">
                  <c:v>1</c:v>
                </c:pt>
                <c:pt idx="125">
                  <c:v>1</c:v>
                </c:pt>
                <c:pt idx="126">
                  <c:v>1</c:v>
                </c:pt>
                <c:pt idx="127">
                  <c:v>1</c:v>
                </c:pt>
                <c:pt idx="128">
                  <c:v>1</c:v>
                </c:pt>
                <c:pt idx="129">
                  <c:v>1</c:v>
                </c:pt>
                <c:pt idx="130">
                  <c:v>1</c:v>
                </c:pt>
                <c:pt idx="131">
                  <c:v>1</c:v>
                </c:pt>
                <c:pt idx="132">
                  <c:v>1</c:v>
                </c:pt>
                <c:pt idx="133">
                  <c:v>1</c:v>
                </c:pt>
                <c:pt idx="134">
                  <c:v>1</c:v>
                </c:pt>
                <c:pt idx="135">
                  <c:v>1</c:v>
                </c:pt>
                <c:pt idx="136">
                  <c:v>1</c:v>
                </c:pt>
                <c:pt idx="137">
                  <c:v>1</c:v>
                </c:pt>
                <c:pt idx="138">
                  <c:v>1</c:v>
                </c:pt>
                <c:pt idx="139">
                  <c:v>1</c:v>
                </c:pt>
                <c:pt idx="140">
                  <c:v>1</c:v>
                </c:pt>
                <c:pt idx="141">
                  <c:v>1</c:v>
                </c:pt>
                <c:pt idx="142">
                  <c:v>1</c:v>
                </c:pt>
                <c:pt idx="143">
                  <c:v>1</c:v>
                </c:pt>
                <c:pt idx="144">
                  <c:v>1</c:v>
                </c:pt>
                <c:pt idx="145">
                  <c:v>1</c:v>
                </c:pt>
                <c:pt idx="146">
                  <c:v>1</c:v>
                </c:pt>
                <c:pt idx="147">
                  <c:v>1</c:v>
                </c:pt>
                <c:pt idx="148">
                  <c:v>1</c:v>
                </c:pt>
                <c:pt idx="149">
                  <c:v>1</c:v>
                </c:pt>
                <c:pt idx="150">
                  <c:v>1</c:v>
                </c:pt>
                <c:pt idx="151">
                  <c:v>1</c:v>
                </c:pt>
                <c:pt idx="152">
                  <c:v>1</c:v>
                </c:pt>
                <c:pt idx="153">
                  <c:v>1</c:v>
                </c:pt>
                <c:pt idx="154">
                  <c:v>1</c:v>
                </c:pt>
                <c:pt idx="155">
                  <c:v>1</c:v>
                </c:pt>
                <c:pt idx="156">
                  <c:v>1</c:v>
                </c:pt>
                <c:pt idx="157">
                  <c:v>1</c:v>
                </c:pt>
                <c:pt idx="158">
                  <c:v>1</c:v>
                </c:pt>
                <c:pt idx="159">
                  <c:v>1</c:v>
                </c:pt>
                <c:pt idx="160">
                  <c:v>1</c:v>
                </c:pt>
                <c:pt idx="161">
                  <c:v>1</c:v>
                </c:pt>
                <c:pt idx="162">
                  <c:v>1</c:v>
                </c:pt>
                <c:pt idx="163">
                  <c:v>1</c:v>
                </c:pt>
                <c:pt idx="164">
                  <c:v>1</c:v>
                </c:pt>
                <c:pt idx="165">
                  <c:v>1</c:v>
                </c:pt>
                <c:pt idx="166">
                  <c:v>1</c:v>
                </c:pt>
                <c:pt idx="167">
                  <c:v>1</c:v>
                </c:pt>
                <c:pt idx="168">
                  <c:v>1</c:v>
                </c:pt>
                <c:pt idx="169">
                  <c:v>1</c:v>
                </c:pt>
                <c:pt idx="170">
                  <c:v>1</c:v>
                </c:pt>
                <c:pt idx="171">
                  <c:v>1</c:v>
                </c:pt>
                <c:pt idx="172">
                  <c:v>1</c:v>
                </c:pt>
                <c:pt idx="173">
                  <c:v>1</c:v>
                </c:pt>
                <c:pt idx="174">
                  <c:v>1</c:v>
                </c:pt>
                <c:pt idx="175">
                  <c:v>1</c:v>
                </c:pt>
                <c:pt idx="176">
                  <c:v>1</c:v>
                </c:pt>
                <c:pt idx="177">
                  <c:v>1</c:v>
                </c:pt>
                <c:pt idx="178">
                  <c:v>1</c:v>
                </c:pt>
                <c:pt idx="179">
                  <c:v>1</c:v>
                </c:pt>
                <c:pt idx="180">
                  <c:v>1</c:v>
                </c:pt>
                <c:pt idx="181">
                  <c:v>1</c:v>
                </c:pt>
                <c:pt idx="182">
                  <c:v>1</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1</c:v>
                </c:pt>
                <c:pt idx="199">
                  <c:v>1</c:v>
                </c:pt>
                <c:pt idx="200">
                  <c:v>1</c:v>
                </c:pt>
                <c:pt idx="201">
                  <c:v>1</c:v>
                </c:pt>
                <c:pt idx="202">
                  <c:v>1</c:v>
                </c:pt>
                <c:pt idx="203">
                  <c:v>1</c:v>
                </c:pt>
                <c:pt idx="204">
                  <c:v>1</c:v>
                </c:pt>
                <c:pt idx="205">
                  <c:v>1</c:v>
                </c:pt>
              </c:numCache>
            </c:numRef>
          </c:val>
          <c:extLst>
            <c:ext xmlns:c16="http://schemas.microsoft.com/office/drawing/2014/chart" uri="{C3380CC4-5D6E-409C-BE32-E72D297353CC}">
              <c16:uniqueId val="{00000000-4612-46B4-83E9-7A7357E93BE4}"/>
            </c:ext>
          </c:extLst>
        </c:ser>
        <c:dLbls>
          <c:showLegendKey val="0"/>
          <c:showVal val="0"/>
          <c:showCatName val="0"/>
          <c:showSerName val="0"/>
          <c:showPercent val="0"/>
          <c:showBubbleSize val="0"/>
        </c:dLbls>
        <c:gapWidth val="100"/>
        <c:overlap val="-24"/>
        <c:axId val="1882470319"/>
        <c:axId val="1882471279"/>
      </c:barChart>
      <c:catAx>
        <c:axId val="188247031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82471279"/>
        <c:crosses val="autoZero"/>
        <c:auto val="1"/>
        <c:lblAlgn val="ctr"/>
        <c:lblOffset val="100"/>
        <c:noMultiLvlLbl val="0"/>
      </c:catAx>
      <c:valAx>
        <c:axId val="188247127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82470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25400</xdr:colOff>
      <xdr:row>0</xdr:row>
      <xdr:rowOff>44448</xdr:rowOff>
    </xdr:from>
    <xdr:to>
      <xdr:col>25</xdr:col>
      <xdr:colOff>82826</xdr:colOff>
      <xdr:row>70</xdr:row>
      <xdr:rowOff>0</xdr:rowOff>
    </xdr:to>
    <xdr:sp macro="" textlink="">
      <xdr:nvSpPr>
        <xdr:cNvPr id="2" name="Rectangle: Rounded Corners 1">
          <a:extLst>
            <a:ext uri="{FF2B5EF4-FFF2-40B4-BE49-F238E27FC236}">
              <a16:creationId xmlns:a16="http://schemas.microsoft.com/office/drawing/2014/main" id="{5AC9369F-72A9-DB82-7C8A-0BDD09660D43}"/>
            </a:ext>
          </a:extLst>
        </xdr:cNvPr>
        <xdr:cNvSpPr/>
      </xdr:nvSpPr>
      <xdr:spPr>
        <a:xfrm>
          <a:off x="25400" y="44448"/>
          <a:ext cx="15210835" cy="12751764"/>
        </a:xfrm>
        <a:prstGeom prst="roundRect">
          <a:avLst>
            <a:gd name="adj" fmla="val 0"/>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80308</xdr:colOff>
      <xdr:row>0</xdr:row>
      <xdr:rowOff>106083</xdr:rowOff>
    </xdr:from>
    <xdr:to>
      <xdr:col>16</xdr:col>
      <xdr:colOff>112593</xdr:colOff>
      <xdr:row>2</xdr:row>
      <xdr:rowOff>149462</xdr:rowOff>
    </xdr:to>
    <xdr:sp macro="" textlink="">
      <xdr:nvSpPr>
        <xdr:cNvPr id="3" name="Rectangle: Rounded Corners 2">
          <a:extLst>
            <a:ext uri="{FF2B5EF4-FFF2-40B4-BE49-F238E27FC236}">
              <a16:creationId xmlns:a16="http://schemas.microsoft.com/office/drawing/2014/main" id="{CAF60952-13F6-4243-88C5-A1179F9F125D}"/>
            </a:ext>
          </a:extLst>
        </xdr:cNvPr>
        <xdr:cNvSpPr/>
      </xdr:nvSpPr>
      <xdr:spPr>
        <a:xfrm>
          <a:off x="4981014" y="106083"/>
          <a:ext cx="4932991" cy="416908"/>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cap="none" spc="0">
              <a:ln w="0"/>
              <a:solidFill>
                <a:schemeClr val="tx1"/>
              </a:solidFill>
              <a:effectLst>
                <a:outerShdw blurRad="38100" dist="19050" dir="2700000" algn="tl" rotWithShape="0">
                  <a:schemeClr val="dk1">
                    <a:alpha val="40000"/>
                  </a:schemeClr>
                </a:outerShdw>
              </a:effectLst>
            </a:rPr>
            <a:t>Dashboards of Job Application Tracker</a:t>
          </a:r>
        </a:p>
      </xdr:txBody>
    </xdr:sp>
    <xdr:clientData/>
  </xdr:twoCellAnchor>
  <xdr:twoCellAnchor editAs="oneCell">
    <xdr:from>
      <xdr:col>0</xdr:col>
      <xdr:colOff>23761</xdr:colOff>
      <xdr:row>35</xdr:row>
      <xdr:rowOff>45316</xdr:rowOff>
    </xdr:from>
    <xdr:to>
      <xdr:col>3</xdr:col>
      <xdr:colOff>31106</xdr:colOff>
      <xdr:row>48</xdr:row>
      <xdr:rowOff>168731</xdr:rowOff>
    </xdr:to>
    <mc:AlternateContent xmlns:mc="http://schemas.openxmlformats.org/markup-compatibility/2006" xmlns:a14="http://schemas.microsoft.com/office/drawing/2010/main">
      <mc:Choice Requires="a14">
        <xdr:graphicFrame macro="">
          <xdr:nvGraphicFramePr>
            <xdr:cNvPr id="5" name="Job Role">
              <a:extLst>
                <a:ext uri="{FF2B5EF4-FFF2-40B4-BE49-F238E27FC236}">
                  <a16:creationId xmlns:a16="http://schemas.microsoft.com/office/drawing/2014/main" id="{3B6F99C1-B837-457D-BD6C-A4B52DF64B9F}"/>
                </a:ext>
              </a:extLst>
            </xdr:cNvPr>
            <xdr:cNvGraphicFramePr/>
          </xdr:nvGraphicFramePr>
          <xdr:xfrm>
            <a:off x="0" y="0"/>
            <a:ext cx="0" cy="0"/>
          </xdr:xfrm>
          <a:graphic>
            <a:graphicData uri="http://schemas.microsoft.com/office/drawing/2010/slicer">
              <sle:slicer xmlns:sle="http://schemas.microsoft.com/office/drawing/2010/slicer" name="Job Role"/>
            </a:graphicData>
          </a:graphic>
        </xdr:graphicFrame>
      </mc:Choice>
      <mc:Fallback xmlns="">
        <xdr:sp macro="" textlink="">
          <xdr:nvSpPr>
            <xdr:cNvPr id="0" name=""/>
            <xdr:cNvSpPr>
              <a:spLocks noTextEdit="1"/>
            </xdr:cNvSpPr>
          </xdr:nvSpPr>
          <xdr:spPr>
            <a:xfrm>
              <a:off x="23761" y="6443422"/>
              <a:ext cx="1825754" cy="24998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25216</xdr:colOff>
      <xdr:row>3</xdr:row>
      <xdr:rowOff>165100</xdr:rowOff>
    </xdr:from>
    <xdr:to>
      <xdr:col>21</xdr:col>
      <xdr:colOff>344944</xdr:colOff>
      <xdr:row>18</xdr:row>
      <xdr:rowOff>138553</xdr:rowOff>
    </xdr:to>
    <xdr:graphicFrame macro="">
      <xdr:nvGraphicFramePr>
        <xdr:cNvPr id="6" name="Chart 5">
          <a:extLst>
            <a:ext uri="{FF2B5EF4-FFF2-40B4-BE49-F238E27FC236}">
              <a16:creationId xmlns:a16="http://schemas.microsoft.com/office/drawing/2014/main" id="{B61B0DDA-0826-428E-A4B4-035C5C722D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45576</xdr:colOff>
      <xdr:row>4</xdr:row>
      <xdr:rowOff>153823</xdr:rowOff>
    </xdr:from>
    <xdr:to>
      <xdr:col>3</xdr:col>
      <xdr:colOff>59547</xdr:colOff>
      <xdr:row>18</xdr:row>
      <xdr:rowOff>93640</xdr:rowOff>
    </xdr:to>
    <mc:AlternateContent xmlns:mc="http://schemas.openxmlformats.org/markup-compatibility/2006" xmlns:a14="http://schemas.microsoft.com/office/drawing/2010/main">
      <mc:Choice Requires="a14">
        <xdr:graphicFrame macro="">
          <xdr:nvGraphicFramePr>
            <xdr:cNvPr id="7" name="Current Status">
              <a:extLst>
                <a:ext uri="{FF2B5EF4-FFF2-40B4-BE49-F238E27FC236}">
                  <a16:creationId xmlns:a16="http://schemas.microsoft.com/office/drawing/2014/main" id="{DD957662-2B50-4FEE-A30C-542DF36807AE}"/>
                </a:ext>
              </a:extLst>
            </xdr:cNvPr>
            <xdr:cNvGraphicFramePr/>
          </xdr:nvGraphicFramePr>
          <xdr:xfrm>
            <a:off x="0" y="0"/>
            <a:ext cx="0" cy="0"/>
          </xdr:xfrm>
          <a:graphic>
            <a:graphicData uri="http://schemas.microsoft.com/office/drawing/2010/slicer">
              <sle:slicer xmlns:sle="http://schemas.microsoft.com/office/drawing/2010/slicer" name="Current Status"/>
            </a:graphicData>
          </a:graphic>
        </xdr:graphicFrame>
      </mc:Choice>
      <mc:Fallback xmlns="">
        <xdr:sp macro="" textlink="">
          <xdr:nvSpPr>
            <xdr:cNvPr id="0" name=""/>
            <xdr:cNvSpPr>
              <a:spLocks noTextEdit="1"/>
            </xdr:cNvSpPr>
          </xdr:nvSpPr>
          <xdr:spPr>
            <a:xfrm>
              <a:off x="45576" y="885035"/>
              <a:ext cx="1832380" cy="2499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163444</xdr:colOff>
      <xdr:row>19</xdr:row>
      <xdr:rowOff>118074</xdr:rowOff>
    </xdr:from>
    <xdr:to>
      <xdr:col>10</xdr:col>
      <xdr:colOff>223890</xdr:colOff>
      <xdr:row>34</xdr:row>
      <xdr:rowOff>92906</xdr:rowOff>
    </xdr:to>
    <xdr:graphicFrame macro="">
      <xdr:nvGraphicFramePr>
        <xdr:cNvPr id="8" name="Chart 7">
          <a:extLst>
            <a:ext uri="{FF2B5EF4-FFF2-40B4-BE49-F238E27FC236}">
              <a16:creationId xmlns:a16="http://schemas.microsoft.com/office/drawing/2014/main" id="{59078612-EE35-4BBB-AC79-4AAA359F0F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19</xdr:row>
      <xdr:rowOff>164088</xdr:rowOff>
    </xdr:from>
    <xdr:to>
      <xdr:col>3</xdr:col>
      <xdr:colOff>13971</xdr:colOff>
      <xdr:row>33</xdr:row>
      <xdr:rowOff>104439</xdr:rowOff>
    </xdr:to>
    <mc:AlternateContent xmlns:mc="http://schemas.openxmlformats.org/markup-compatibility/2006" xmlns:a14="http://schemas.microsoft.com/office/drawing/2010/main">
      <mc:Choice Requires="a14">
        <xdr:graphicFrame macro="">
          <xdr:nvGraphicFramePr>
            <xdr:cNvPr id="9" name="Application Source">
              <a:extLst>
                <a:ext uri="{FF2B5EF4-FFF2-40B4-BE49-F238E27FC236}">
                  <a16:creationId xmlns:a16="http://schemas.microsoft.com/office/drawing/2014/main" id="{496C4CD5-AFA3-4FEC-BA1E-0B696FF1058B}"/>
                </a:ext>
              </a:extLst>
            </xdr:cNvPr>
            <xdr:cNvGraphicFramePr/>
          </xdr:nvGraphicFramePr>
          <xdr:xfrm>
            <a:off x="0" y="0"/>
            <a:ext cx="0" cy="0"/>
          </xdr:xfrm>
          <a:graphic>
            <a:graphicData uri="http://schemas.microsoft.com/office/drawing/2010/slicer">
              <sle:slicer xmlns:sle="http://schemas.microsoft.com/office/drawing/2010/slicer" name="Application Source"/>
            </a:graphicData>
          </a:graphic>
        </xdr:graphicFrame>
      </mc:Choice>
      <mc:Fallback xmlns="">
        <xdr:sp macro="" textlink="">
          <xdr:nvSpPr>
            <xdr:cNvPr id="0" name=""/>
            <xdr:cNvSpPr>
              <a:spLocks noTextEdit="1"/>
            </xdr:cNvSpPr>
          </xdr:nvSpPr>
          <xdr:spPr>
            <a:xfrm>
              <a:off x="0" y="3637346"/>
              <a:ext cx="1832380" cy="24995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11318</xdr:colOff>
      <xdr:row>19</xdr:row>
      <xdr:rowOff>78156</xdr:rowOff>
    </xdr:from>
    <xdr:to>
      <xdr:col>21</xdr:col>
      <xdr:colOff>353373</xdr:colOff>
      <xdr:row>34</xdr:row>
      <xdr:rowOff>52988</xdr:rowOff>
    </xdr:to>
    <xdr:graphicFrame macro="">
      <xdr:nvGraphicFramePr>
        <xdr:cNvPr id="10" name="Chart 9">
          <a:extLst>
            <a:ext uri="{FF2B5EF4-FFF2-40B4-BE49-F238E27FC236}">
              <a16:creationId xmlns:a16="http://schemas.microsoft.com/office/drawing/2014/main" id="{CA171AA2-CDE3-4B67-8E3F-7FFD99FF77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377328</xdr:colOff>
      <xdr:row>19</xdr:row>
      <xdr:rowOff>166860</xdr:rowOff>
    </xdr:from>
    <xdr:to>
      <xdr:col>13</xdr:col>
      <xdr:colOff>391299</xdr:colOff>
      <xdr:row>33</xdr:row>
      <xdr:rowOff>107120</xdr:rowOff>
    </xdr:to>
    <mc:AlternateContent xmlns:mc="http://schemas.openxmlformats.org/markup-compatibility/2006" xmlns:a14="http://schemas.microsoft.com/office/drawing/2010/main">
      <mc:Choice Requires="a14">
        <xdr:graphicFrame macro="">
          <xdr:nvGraphicFramePr>
            <xdr:cNvPr id="11" name="Application Age Category">
              <a:extLst>
                <a:ext uri="{FF2B5EF4-FFF2-40B4-BE49-F238E27FC236}">
                  <a16:creationId xmlns:a16="http://schemas.microsoft.com/office/drawing/2014/main" id="{4B71C75B-A208-4990-990B-0D8BCB2CD3F7}"/>
                </a:ext>
              </a:extLst>
            </xdr:cNvPr>
            <xdr:cNvGraphicFramePr/>
          </xdr:nvGraphicFramePr>
          <xdr:xfrm>
            <a:off x="0" y="0"/>
            <a:ext cx="0" cy="0"/>
          </xdr:xfrm>
          <a:graphic>
            <a:graphicData uri="http://schemas.microsoft.com/office/drawing/2010/slicer">
              <sle:slicer xmlns:sle="http://schemas.microsoft.com/office/drawing/2010/slicer" name="Application Age Category"/>
            </a:graphicData>
          </a:graphic>
        </xdr:graphicFrame>
      </mc:Choice>
      <mc:Fallback xmlns="">
        <xdr:sp macro="" textlink="">
          <xdr:nvSpPr>
            <xdr:cNvPr id="0" name=""/>
            <xdr:cNvSpPr>
              <a:spLocks noTextEdit="1"/>
            </xdr:cNvSpPr>
          </xdr:nvSpPr>
          <xdr:spPr>
            <a:xfrm>
              <a:off x="6438692" y="3640118"/>
              <a:ext cx="1832380" cy="24995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384745</xdr:colOff>
      <xdr:row>4</xdr:row>
      <xdr:rowOff>80108</xdr:rowOff>
    </xdr:from>
    <xdr:to>
      <xdr:col>13</xdr:col>
      <xdr:colOff>381814</xdr:colOff>
      <xdr:row>17</xdr:row>
      <xdr:rowOff>170066</xdr:rowOff>
    </xdr:to>
    <mc:AlternateContent xmlns:mc="http://schemas.openxmlformats.org/markup-compatibility/2006" xmlns:a14="http://schemas.microsoft.com/office/drawing/2010/main">
      <mc:Choice Requires="a14">
        <xdr:graphicFrame macro="">
          <xdr:nvGraphicFramePr>
            <xdr:cNvPr id="12" name="Mode of Interview">
              <a:extLst>
                <a:ext uri="{FF2B5EF4-FFF2-40B4-BE49-F238E27FC236}">
                  <a16:creationId xmlns:a16="http://schemas.microsoft.com/office/drawing/2014/main" id="{06D75CB9-917F-FAB4-5D11-F34AE2447154}"/>
                </a:ext>
              </a:extLst>
            </xdr:cNvPr>
            <xdr:cNvGraphicFramePr/>
          </xdr:nvGraphicFramePr>
          <xdr:xfrm>
            <a:off x="0" y="0"/>
            <a:ext cx="0" cy="0"/>
          </xdr:xfrm>
          <a:graphic>
            <a:graphicData uri="http://schemas.microsoft.com/office/drawing/2010/slicer">
              <sle:slicer xmlns:sle="http://schemas.microsoft.com/office/drawing/2010/slicer" name="Mode of Interview"/>
            </a:graphicData>
          </a:graphic>
        </xdr:graphicFrame>
      </mc:Choice>
      <mc:Fallback xmlns="">
        <xdr:sp macro="" textlink="">
          <xdr:nvSpPr>
            <xdr:cNvPr id="0" name=""/>
            <xdr:cNvSpPr>
              <a:spLocks noTextEdit="1"/>
            </xdr:cNvSpPr>
          </xdr:nvSpPr>
          <xdr:spPr>
            <a:xfrm>
              <a:off x="6446109" y="811320"/>
              <a:ext cx="1815478" cy="24663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220784</xdr:colOff>
      <xdr:row>35</xdr:row>
      <xdr:rowOff>68872</xdr:rowOff>
    </xdr:from>
    <xdr:to>
      <xdr:col>10</xdr:col>
      <xdr:colOff>215935</xdr:colOff>
      <xdr:row>49</xdr:row>
      <xdr:rowOff>183166</xdr:rowOff>
    </xdr:to>
    <xdr:graphicFrame macro="">
      <xdr:nvGraphicFramePr>
        <xdr:cNvPr id="13" name="Chart 12">
          <a:extLst>
            <a:ext uri="{FF2B5EF4-FFF2-40B4-BE49-F238E27FC236}">
              <a16:creationId xmlns:a16="http://schemas.microsoft.com/office/drawing/2014/main" id="{99AC8FA8-A9B9-4EDC-95AE-4A79EFF63A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44215</xdr:colOff>
      <xdr:row>35</xdr:row>
      <xdr:rowOff>81138</xdr:rowOff>
    </xdr:from>
    <xdr:to>
      <xdr:col>21</xdr:col>
      <xdr:colOff>324491</xdr:colOff>
      <xdr:row>50</xdr:row>
      <xdr:rowOff>87269</xdr:rowOff>
    </xdr:to>
    <xdr:graphicFrame macro="">
      <xdr:nvGraphicFramePr>
        <xdr:cNvPr id="14" name="Chart 13">
          <a:extLst>
            <a:ext uri="{FF2B5EF4-FFF2-40B4-BE49-F238E27FC236}">
              <a16:creationId xmlns:a16="http://schemas.microsoft.com/office/drawing/2014/main" id="{EA6B9931-5AA1-4AB3-885A-51702AC10D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366183</xdr:colOff>
      <xdr:row>35</xdr:row>
      <xdr:rowOff>167217</xdr:rowOff>
    </xdr:from>
    <xdr:to>
      <xdr:col>13</xdr:col>
      <xdr:colOff>366183</xdr:colOff>
      <xdr:row>49</xdr:row>
      <xdr:rowOff>83608</xdr:rowOff>
    </xdr:to>
    <mc:AlternateContent xmlns:mc="http://schemas.openxmlformats.org/markup-compatibility/2006" xmlns:a14="http://schemas.microsoft.com/office/drawing/2010/main">
      <mc:Choice Requires="a14">
        <xdr:graphicFrame macro="">
          <xdr:nvGraphicFramePr>
            <xdr:cNvPr id="15" name="Stage Reached">
              <a:extLst>
                <a:ext uri="{FF2B5EF4-FFF2-40B4-BE49-F238E27FC236}">
                  <a16:creationId xmlns:a16="http://schemas.microsoft.com/office/drawing/2014/main" id="{ADCAB4EF-3FEC-CA04-D6B1-AD44C362B6E4}"/>
                </a:ext>
              </a:extLst>
            </xdr:cNvPr>
            <xdr:cNvGraphicFramePr/>
          </xdr:nvGraphicFramePr>
          <xdr:xfrm>
            <a:off x="0" y="0"/>
            <a:ext cx="0" cy="0"/>
          </xdr:xfrm>
          <a:graphic>
            <a:graphicData uri="http://schemas.microsoft.com/office/drawing/2010/slicer">
              <sle:slicer xmlns:sle="http://schemas.microsoft.com/office/drawing/2010/slicer" name="Stage Reached"/>
            </a:graphicData>
          </a:graphic>
        </xdr:graphicFrame>
      </mc:Choice>
      <mc:Fallback xmlns="">
        <xdr:sp macro="" textlink="">
          <xdr:nvSpPr>
            <xdr:cNvPr id="0" name=""/>
            <xdr:cNvSpPr>
              <a:spLocks noTextEdit="1"/>
            </xdr:cNvSpPr>
          </xdr:nvSpPr>
          <xdr:spPr>
            <a:xfrm>
              <a:off x="6427547" y="6565323"/>
              <a:ext cx="1818409" cy="24756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12026</xdr:colOff>
      <xdr:row>4</xdr:row>
      <xdr:rowOff>46903</xdr:rowOff>
    </xdr:from>
    <xdr:to>
      <xdr:col>10</xdr:col>
      <xdr:colOff>283724</xdr:colOff>
      <xdr:row>19</xdr:row>
      <xdr:rowOff>48058</xdr:rowOff>
    </xdr:to>
    <xdr:graphicFrame macro="">
      <xdr:nvGraphicFramePr>
        <xdr:cNvPr id="19" name="Chart 18">
          <a:extLst>
            <a:ext uri="{FF2B5EF4-FFF2-40B4-BE49-F238E27FC236}">
              <a16:creationId xmlns:a16="http://schemas.microsoft.com/office/drawing/2014/main" id="{13D0F5D5-6E0F-4852-8205-E096541B98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255764</xdr:colOff>
      <xdr:row>51</xdr:row>
      <xdr:rowOff>44098</xdr:rowOff>
    </xdr:from>
    <xdr:to>
      <xdr:col>10</xdr:col>
      <xdr:colOff>312210</xdr:colOff>
      <xdr:row>66</xdr:row>
      <xdr:rowOff>9173</xdr:rowOff>
    </xdr:to>
    <xdr:graphicFrame macro="">
      <xdr:nvGraphicFramePr>
        <xdr:cNvPr id="20" name="Chart 19">
          <a:extLst>
            <a:ext uri="{FF2B5EF4-FFF2-40B4-BE49-F238E27FC236}">
              <a16:creationId xmlns:a16="http://schemas.microsoft.com/office/drawing/2014/main" id="{5A8DD99C-491E-4B6A-989B-6255BB32FA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51</xdr:row>
      <xdr:rowOff>76574</xdr:rowOff>
    </xdr:from>
    <xdr:to>
      <xdr:col>2</xdr:col>
      <xdr:colOff>603624</xdr:colOff>
      <xdr:row>64</xdr:row>
      <xdr:rowOff>172758</xdr:rowOff>
    </xdr:to>
    <mc:AlternateContent xmlns:mc="http://schemas.openxmlformats.org/markup-compatibility/2006" xmlns:a14="http://schemas.microsoft.com/office/drawing/2010/main">
      <mc:Choice Requires="a14">
        <xdr:graphicFrame macro="">
          <xdr:nvGraphicFramePr>
            <xdr:cNvPr id="21" name="Company Name">
              <a:extLst>
                <a:ext uri="{FF2B5EF4-FFF2-40B4-BE49-F238E27FC236}">
                  <a16:creationId xmlns:a16="http://schemas.microsoft.com/office/drawing/2014/main" id="{D3456BEC-D94B-E04F-E76E-223121DC74CA}"/>
                </a:ext>
              </a:extLst>
            </xdr:cNvPr>
            <xdr:cNvGraphicFramePr/>
          </xdr:nvGraphicFramePr>
          <xdr:xfrm>
            <a:off x="0" y="0"/>
            <a:ext cx="0" cy="0"/>
          </xdr:xfrm>
          <a:graphic>
            <a:graphicData uri="http://schemas.microsoft.com/office/drawing/2010/slicer">
              <sle:slicer xmlns:sle="http://schemas.microsoft.com/office/drawing/2010/slicer" name="Company Name"/>
            </a:graphicData>
          </a:graphic>
        </xdr:graphicFrame>
      </mc:Choice>
      <mc:Fallback xmlns="">
        <xdr:sp macro="" textlink="">
          <xdr:nvSpPr>
            <xdr:cNvPr id="0" name=""/>
            <xdr:cNvSpPr>
              <a:spLocks noTextEdit="1"/>
            </xdr:cNvSpPr>
          </xdr:nvSpPr>
          <xdr:spPr>
            <a:xfrm>
              <a:off x="0" y="9601574"/>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al" refreshedDate="45853.793105787037" createdVersion="8" refreshedVersion="8" minRefreshableVersion="3" recordCount="208" xr:uid="{54FDB70F-ACBA-4DF3-B3DE-DDF18B7AA95E}">
  <cacheSource type="worksheet">
    <worksheetSource name="Table1"/>
  </cacheSource>
  <cacheFields count="12">
    <cacheField name="Application ID" numFmtId="0">
      <sharedItems/>
    </cacheField>
    <cacheField name="Date Applied" numFmtId="164">
      <sharedItems containsSemiMixedTypes="0" containsNonDate="0" containsDate="1" containsString="0" minDate="2025-01-13T00:00:00" maxDate="2025-07-14T00:00:00" count="131">
        <d v="2025-05-21T00:00:00"/>
        <d v="2025-06-05T00:00:00"/>
        <d v="2025-02-05T00:00:00"/>
        <d v="2025-01-31T00:00:00"/>
        <d v="2025-02-20T00:00:00"/>
        <d v="2025-05-06T00:00:00"/>
        <d v="2025-03-10T00:00:00"/>
        <d v="2025-06-13T00:00:00"/>
        <d v="2025-07-05T00:00:00"/>
        <d v="2025-04-22T00:00:00"/>
        <d v="2025-05-22T00:00:00"/>
        <d v="2025-02-15T00:00:00"/>
        <d v="2025-01-17T00:00:00"/>
        <d v="2025-02-03T00:00:00"/>
        <d v="2025-05-16T00:00:00"/>
        <d v="2025-06-30T00:00:00"/>
        <d v="2025-03-06T00:00:00"/>
        <d v="2025-02-01T00:00:00"/>
        <d v="2025-03-25T00:00:00"/>
        <d v="2025-05-30T00:00:00"/>
        <d v="2025-05-01T00:00:00"/>
        <d v="2025-02-13T00:00:00"/>
        <d v="2025-07-02T00:00:00"/>
        <d v="2025-03-24T00:00:00"/>
        <d v="2025-01-15T00:00:00"/>
        <d v="2025-01-13T00:00:00"/>
        <d v="2025-05-19T00:00:00"/>
        <d v="2025-02-11T00:00:00"/>
        <d v="2025-06-21T00:00:00"/>
        <d v="2025-03-28T00:00:00"/>
        <d v="2025-04-28T00:00:00"/>
        <d v="2025-01-30T00:00:00"/>
        <d v="2025-02-10T00:00:00"/>
        <d v="2025-01-16T00:00:00"/>
        <d v="2025-06-02T00:00:00"/>
        <d v="2025-06-22T00:00:00"/>
        <d v="2025-04-09T00:00:00"/>
        <d v="2025-03-09T00:00:00"/>
        <d v="2025-04-14T00:00:00"/>
        <d v="2025-05-02T00:00:00"/>
        <d v="2025-02-24T00:00:00"/>
        <d v="2025-06-01T00:00:00"/>
        <d v="2025-07-11T00:00:00"/>
        <d v="2025-03-08T00:00:00"/>
        <d v="2025-07-13T00:00:00"/>
        <d v="2025-05-04T00:00:00"/>
        <d v="2025-04-04T00:00:00"/>
        <d v="2025-07-08T00:00:00"/>
        <d v="2025-06-16T00:00:00"/>
        <d v="2025-02-23T00:00:00"/>
        <d v="2025-02-07T00:00:00"/>
        <d v="2025-04-03T00:00:00"/>
        <d v="2025-06-25T00:00:00"/>
        <d v="2025-05-13T00:00:00"/>
        <d v="2025-04-20T00:00:00"/>
        <d v="2025-01-26T00:00:00"/>
        <d v="2025-05-28T00:00:00"/>
        <d v="2025-07-09T00:00:00"/>
        <d v="2025-04-16T00:00:00"/>
        <d v="2025-05-17T00:00:00"/>
        <d v="2025-02-14T00:00:00"/>
        <d v="2025-06-07T00:00:00"/>
        <d v="2025-07-12T00:00:00"/>
        <d v="2025-01-20T00:00:00"/>
        <d v="2025-03-20T00:00:00"/>
        <d v="2025-03-27T00:00:00"/>
        <d v="2025-06-08T00:00:00"/>
        <d v="2025-05-09T00:00:00"/>
        <d v="2025-06-10T00:00:00"/>
        <d v="2025-02-02T00:00:00"/>
        <d v="2025-06-15T00:00:00"/>
        <d v="2025-03-14T00:00:00"/>
        <d v="2025-05-14T00:00:00"/>
        <d v="2025-05-27T00:00:00"/>
        <d v="2025-04-29T00:00:00"/>
        <d v="2025-03-05T00:00:00"/>
        <d v="2025-04-24T00:00:00"/>
        <d v="2025-02-28T00:00:00"/>
        <d v="2025-06-18T00:00:00"/>
        <d v="2025-06-28T00:00:00"/>
        <d v="2025-02-06T00:00:00"/>
        <d v="2025-01-25T00:00:00"/>
        <d v="2025-05-20T00:00:00"/>
        <d v="2025-03-29T00:00:00"/>
        <d v="2025-04-13T00:00:00"/>
        <d v="2025-05-26T00:00:00"/>
        <d v="2025-06-29T00:00:00"/>
        <d v="2025-06-11T00:00:00"/>
        <d v="2025-02-27T00:00:00"/>
        <d v="2025-07-07T00:00:00"/>
        <d v="2025-03-22T00:00:00"/>
        <d v="2025-02-25T00:00:00"/>
        <d v="2025-03-04T00:00:00"/>
        <d v="2025-03-19T00:00:00"/>
        <d v="2025-06-19T00:00:00"/>
        <d v="2025-04-06T00:00:00"/>
        <d v="2025-06-27T00:00:00"/>
        <d v="2025-04-15T00:00:00"/>
        <d v="2025-02-09T00:00:00"/>
        <d v="2025-04-25T00:00:00"/>
        <d v="2025-04-21T00:00:00"/>
        <d v="2025-01-22T00:00:00"/>
        <d v="2025-05-12T00:00:00"/>
        <d v="2025-04-08T00:00:00"/>
        <d v="2025-01-27T00:00:00"/>
        <d v="2025-05-15T00:00:00"/>
        <d v="2025-05-03T00:00:00"/>
        <d v="2025-04-10T00:00:00"/>
        <d v="2025-03-17T00:00:00"/>
        <d v="2025-05-25T00:00:00"/>
        <d v="2025-07-06T00:00:00"/>
        <d v="2025-01-28T00:00:00"/>
        <d v="2025-04-07T00:00:00"/>
        <d v="2025-02-21T00:00:00"/>
        <d v="2025-03-11T00:00:00"/>
        <d v="2025-01-18T00:00:00"/>
        <d v="2025-03-12T00:00:00"/>
        <d v="2025-06-26T00:00:00"/>
        <d v="2025-02-26T00:00:00"/>
        <d v="2025-04-02T00:00:00"/>
        <d v="2025-02-04T00:00:00"/>
        <d v="2025-03-01T00:00:00"/>
        <d v="2025-03-30T00:00:00"/>
        <d v="2025-03-07T00:00:00"/>
        <d v="2025-07-04T00:00:00"/>
        <d v="2025-02-08T00:00:00"/>
        <d v="2025-01-24T00:00:00"/>
        <d v="2025-02-19T00:00:00"/>
        <d v="2025-06-06T00:00:00"/>
        <d v="2025-05-08T00:00:00"/>
        <d v="2025-05-31T00:00:00"/>
      </sharedItems>
      <fieldGroup par="11"/>
    </cacheField>
    <cacheField name="Company Name" numFmtId="0">
      <sharedItems count="206">
        <s v="Holloway-Nguyen"/>
        <s v="Shelton-Contreras"/>
        <s v="Jackson, Welch and Thomas"/>
        <s v="Kim-Salazar"/>
        <s v="White Inc"/>
        <s v="Vasquez-Reed"/>
        <s v="Turner, Thomas and Carpenter"/>
        <s v="Phillips, Noble and Tran"/>
        <s v="Elliott, Ramos and Hickman"/>
        <s v="Warren and Sons"/>
        <s v="Smith PLC"/>
        <s v="Hernandez Inc"/>
        <s v="Nelson-Pacheco"/>
        <s v="Ellis-Dickson"/>
        <s v="Erickson Ltd"/>
        <s v="Ortiz, Mitchell and Mullins"/>
        <s v="James, Hall and Carter"/>
        <s v="Carpenter, Flynn and Macias"/>
        <s v="Cochran and Sons"/>
        <s v="Wright-Johnston"/>
        <s v="Potts-Marquez"/>
        <s v="Wheeler-Patel"/>
        <s v="Roberts PLC"/>
        <s v="Rodriguez, Schultz and Russell"/>
        <s v="Murphy PLC"/>
        <s v="Bates-Wilkins"/>
        <s v="Marquez, Mann and Johnson"/>
        <s v="Garcia-Cruz"/>
        <s v="Davis, Vasquez and Stephens"/>
        <s v="Church, Gardner and Farrell"/>
        <s v="Bell-Solis"/>
        <s v="Flores-Mcdonald"/>
        <s v="Osborn, Gibson and Richard"/>
        <s v="Sullivan-Gray"/>
        <s v="Garcia LLC"/>
        <s v="Wolfe-Patterson"/>
        <s v="Hester-Watkins"/>
        <s v="Powell-Jennings"/>
        <s v="Patton-Carney"/>
        <s v="Snow, Baird and Gregory"/>
        <s v="Montgomery Group"/>
        <s v="Coleman-Washington"/>
        <s v="Monroe, Smith and Perry"/>
        <s v="Leon Group"/>
        <s v="Torres, Rodriguez and Gonzalez"/>
        <s v="Jackson LLC"/>
        <s v="Gray-Wilson"/>
        <s v="Sullivan and Sons"/>
        <s v="Bridges PLC"/>
        <s v="Sanchez, Salinas and Harrington"/>
        <s v="Baker-Duke"/>
        <s v="Mcmahon-Avila"/>
        <s v="Taylor, Brock and Miller"/>
        <s v="Wilson-Bowman"/>
        <s v="Phelps-Callahan"/>
        <s v="Steele-Carter"/>
        <s v="Schneider-Rowland"/>
        <s v="Elliott, Johnson and Alvarez"/>
        <s v="Wood-Johnson"/>
        <s v="Gomez PLC"/>
        <s v="Cabrera-Mccormick"/>
        <s v="Wood Inc"/>
        <s v="Austin-Harris"/>
        <s v="Robbins, Murray and Garrett"/>
        <s v="Ibarra Inc"/>
        <s v="Walker and Sons"/>
        <s v="Cooper-Carter"/>
        <s v="Smith Ltd"/>
        <s v="Ortega-Jones"/>
        <s v="Gay Ltd"/>
        <s v="Webster, Hamilton and Reed"/>
        <s v="White Ltd"/>
        <s v="Munoz Ltd"/>
        <s v="Fowler, Mccullough and Thomas"/>
        <s v="Harding Inc"/>
        <s v="Weber-Bennett"/>
        <s v="Spencer-Mendez"/>
        <s v="Carroll-Martin"/>
        <s v="Drake-Mitchell"/>
        <s v="Anderson PLC"/>
        <s v="Harris Inc"/>
        <s v="Padilla Ltd"/>
        <s v="Garner PLC"/>
        <s v="Yates-Rowland"/>
        <s v="Mitchell, Rice and Hodges"/>
        <s v="Potter-Callahan"/>
        <s v="Douglas, Norman and Hill"/>
        <s v="Ball LLC"/>
        <s v="Velasquez, Bowman and Smith"/>
        <s v="Gibson, Zamora and Brown"/>
        <s v="Hayes, Murillo and Montoya"/>
        <s v="Hamilton, Robertson and Ellison"/>
        <s v="Lee, Martinez and Garner"/>
        <s v="Johnson Inc"/>
        <s v="Sanders-Cherry"/>
        <s v="Thomas Ltd"/>
        <s v="Moore LLC"/>
        <s v="Spencer PLC"/>
        <s v="Elliott, Chan and Jacobs"/>
        <s v="Chapman Ltd"/>
        <s v="Fry, Edwards and Lawson"/>
        <s v="Campbell and Sons"/>
        <s v="Stokes Inc"/>
        <s v="Wyatt-Jones"/>
        <s v="Gilmore PLC"/>
        <s v="King Ltd"/>
        <s v="Lutz, Kim and Booth"/>
        <s v="Gonzalez, Navarro and Castro"/>
        <s v="Allison, West and Harrison"/>
        <s v="Atkins-Davis"/>
        <s v="Carter, Williams and Cox"/>
        <s v="Nash-Tyler"/>
        <s v="Martin-Wilson"/>
        <s v="Klein Ltd"/>
        <s v="Ramirez Ltd"/>
        <s v="Smith-Wilcox"/>
        <s v="Hudson, Roman and Larsen"/>
        <s v="Rivera Group"/>
        <s v="Wilson-Buckley"/>
        <s v="Jones, Watkins and Lee"/>
        <s v="Jacobs, Haynes and Sampson"/>
        <s v="Meyer, Rodriguez and Wright"/>
        <s v="Hines-Moreno"/>
        <s v="Smith Group"/>
        <s v="Contreras Ltd"/>
        <s v="Kennedy Inc"/>
        <s v="Coleman Ltd"/>
        <s v="Jackson-Simpson"/>
        <s v="Villarreal, Weaver and Gibbs"/>
        <s v="Lloyd-Johnson"/>
        <s v="Herrera-Nelson"/>
        <s v="Anderson, Mills and Blake"/>
        <s v="Bell, Sparks and Hunter"/>
        <s v="Ruiz, Smith and Graves"/>
        <s v="Chandler and Sons"/>
        <s v="Peterson, Hill and Jones"/>
        <s v="Cruz, Kim and Morales"/>
        <s v="Burgess, Taylor and Wilson"/>
        <s v="Blankenship-Kennedy"/>
        <s v="Lee Group"/>
        <s v="Flores-Phillips"/>
        <s v="Peterson Group"/>
        <s v="Zimmerman, Atkins and Cross"/>
        <s v="Gonzalez Group"/>
        <s v="Tucker, Villegas and Mills"/>
        <s v="Fernandez, Thompson and Stone"/>
        <s v="Jones, Kelley and Wallace"/>
        <s v="Jones-Bridges"/>
        <s v="Simpson and Sons"/>
        <s v="Rodriguez, Jackson and Miller"/>
        <s v="Thompson-Walter"/>
        <s v="Arellano-Sloan"/>
        <s v="Bright-Fleming"/>
        <s v="Hester-Powers"/>
        <s v="Moore-Jones"/>
        <s v="Jones and Sons"/>
        <s v="Johnson-Myers"/>
        <s v="Reyes, Garrett and Graves"/>
        <s v="Carpenter Group"/>
        <s v="Bullock-Mejia"/>
        <s v="Thomas-Santana"/>
        <s v="Lewis-Byrd"/>
        <s v="Richardson, Cook and Day"/>
        <s v="Hahn PLC"/>
        <s v="Murphy-Jimenez"/>
        <s v="Brown-Phelps"/>
        <s v="Stewart, Kennedy and Miller"/>
        <s v="Salinas Inc"/>
        <s v="Harding-Harris"/>
        <s v="Jones, Davis and Hinton"/>
        <s v="Page Inc"/>
        <s v="White, Murphy and Valenzuela"/>
        <s v="Garcia PLC"/>
        <s v="Crawford, Wilkins and Brown"/>
        <s v="Orozco Ltd"/>
        <s v="Gonzalez Inc"/>
        <s v="Blankenship LLC"/>
        <s v="Wright LLC"/>
        <s v="Taylor-Stanley"/>
        <s v="Collier Inc"/>
        <s v="Farrell, Lopez and Rogers"/>
        <s v="Mayo, Patterson and Barnes"/>
        <s v="Barr Ltd"/>
        <s v="Garcia-Gallegos"/>
        <s v="Wood, Henry and Perkins"/>
        <s v="Mcconnell, Bell and Miller"/>
        <s v="Morris-Hancock"/>
        <s v="Lamb Group"/>
        <s v="Davila-Greer"/>
        <s v="Santos-Jones"/>
        <s v="Atkins-Allen"/>
        <s v="Allen-Watkins"/>
        <s v="Romero Ltd"/>
        <s v="Brock, Caldwell and Nguyen"/>
        <s v="Washington, Davis and Freeman"/>
        <s v="Gomez, Rodgers and Baker"/>
        <s v="Ruiz PLC"/>
        <s v="Butler, Holt and Huber"/>
        <s v="Stout, Hernandez and Gutierrez"/>
        <s v="Wilson, Hogan and Nunez"/>
        <s v="Brown Group"/>
        <s v="Hawkins Ltd"/>
        <s v="Patterson-Anderson"/>
        <s v="Barrett-Martin"/>
        <s v="Kirk-Whitaker"/>
        <s v="Williams Ltd"/>
      </sharedItems>
    </cacheField>
    <cacheField name="Job Role" numFmtId="0">
      <sharedItems count="5">
        <s v="Software Engineer"/>
        <s v="Data Analyst"/>
        <s v="Content Writer"/>
        <s v="Marketing Associate"/>
        <s v="Product Manager"/>
      </sharedItems>
    </cacheField>
    <cacheField name="Application Source" numFmtId="0">
      <sharedItems count="5">
        <s v="Naukri"/>
        <s v="Indeed"/>
        <s v="LinkedIn"/>
        <s v="Referral"/>
        <s v="Company Website"/>
      </sharedItems>
    </cacheField>
    <cacheField name="Current Status" numFmtId="0">
      <sharedItems count="2">
        <s v="Interview"/>
        <s v="Offer"/>
      </sharedItems>
    </cacheField>
    <cacheField name="Stage Reached" numFmtId="0">
      <sharedItems count="4">
        <s v="HR Round"/>
        <s v="Final Round"/>
        <s v="CV Screening"/>
        <s v="Technical Round"/>
      </sharedItems>
    </cacheField>
    <cacheField name="Mode of Interview" numFmtId="0">
      <sharedItems count="3">
        <s v="Online"/>
        <s v="In-person"/>
        <s v="Telephonic"/>
      </sharedItems>
    </cacheField>
    <cacheField name="Offer Received" numFmtId="0">
      <sharedItems count="2">
        <s v="No"/>
        <s v="Yes"/>
      </sharedItems>
    </cacheField>
    <cacheField name="Application Age Category" numFmtId="164">
      <sharedItems count="3">
        <s v="1-2 Months Ago"/>
        <s v="3+ Months Ago"/>
        <s v="Within last 30 Days"/>
      </sharedItems>
    </cacheField>
    <cacheField name="Days (Date Applied)" numFmtId="0" databaseField="0">
      <fieldGroup base="1">
        <rangePr groupBy="days" startDate="2025-01-13T00:00:00" endDate="2025-07-14T00:00:00"/>
        <groupItems count="368">
          <s v="&lt;13-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4-07-2025"/>
        </groupItems>
      </fieldGroup>
    </cacheField>
    <cacheField name="Months (Date Applied)" numFmtId="0" databaseField="0">
      <fieldGroup base="1">
        <rangePr groupBy="months" startDate="2025-01-13T00:00:00" endDate="2025-07-14T00:00:00"/>
        <groupItems count="14">
          <s v="&lt;13-01-2025"/>
          <s v="Jan"/>
          <s v="Feb"/>
          <s v="Mar"/>
          <s v="Apr"/>
          <s v="May"/>
          <s v="Jun"/>
          <s v="Jul"/>
          <s v="Aug"/>
          <s v="Sep"/>
          <s v="Oct"/>
          <s v="Nov"/>
          <s v="Dec"/>
          <s v="&gt;14-07-2025"/>
        </groupItems>
      </fieldGroup>
    </cacheField>
  </cacheFields>
  <extLst>
    <ext xmlns:x14="http://schemas.microsoft.com/office/spreadsheetml/2009/9/main" uri="{725AE2AE-9491-48be-B2B4-4EB974FC3084}">
      <x14:pivotCacheDefinition pivotCacheId="10181179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8">
  <r>
    <s v="APP003"/>
    <x v="0"/>
    <x v="0"/>
    <x v="0"/>
    <x v="0"/>
    <x v="0"/>
    <x v="0"/>
    <x v="0"/>
    <x v="0"/>
    <x v="0"/>
  </r>
  <r>
    <s v="APP007"/>
    <x v="1"/>
    <x v="1"/>
    <x v="0"/>
    <x v="1"/>
    <x v="0"/>
    <x v="1"/>
    <x v="1"/>
    <x v="0"/>
    <x v="0"/>
  </r>
  <r>
    <s v="APP010"/>
    <x v="2"/>
    <x v="2"/>
    <x v="0"/>
    <x v="2"/>
    <x v="0"/>
    <x v="1"/>
    <x v="1"/>
    <x v="0"/>
    <x v="1"/>
  </r>
  <r>
    <s v="APP012"/>
    <x v="3"/>
    <x v="3"/>
    <x v="1"/>
    <x v="0"/>
    <x v="1"/>
    <x v="1"/>
    <x v="0"/>
    <x v="1"/>
    <x v="1"/>
  </r>
  <r>
    <s v="APP014"/>
    <x v="4"/>
    <x v="4"/>
    <x v="2"/>
    <x v="2"/>
    <x v="1"/>
    <x v="2"/>
    <x v="1"/>
    <x v="1"/>
    <x v="1"/>
  </r>
  <r>
    <s v="APP016"/>
    <x v="5"/>
    <x v="5"/>
    <x v="0"/>
    <x v="3"/>
    <x v="0"/>
    <x v="1"/>
    <x v="2"/>
    <x v="0"/>
    <x v="1"/>
  </r>
  <r>
    <s v="APP019"/>
    <x v="6"/>
    <x v="6"/>
    <x v="1"/>
    <x v="1"/>
    <x v="0"/>
    <x v="3"/>
    <x v="1"/>
    <x v="0"/>
    <x v="1"/>
  </r>
  <r>
    <s v="APP020"/>
    <x v="7"/>
    <x v="7"/>
    <x v="1"/>
    <x v="2"/>
    <x v="0"/>
    <x v="2"/>
    <x v="2"/>
    <x v="0"/>
    <x v="0"/>
  </r>
  <r>
    <s v="APP021"/>
    <x v="8"/>
    <x v="8"/>
    <x v="0"/>
    <x v="0"/>
    <x v="0"/>
    <x v="3"/>
    <x v="0"/>
    <x v="0"/>
    <x v="2"/>
  </r>
  <r>
    <s v="APP025"/>
    <x v="9"/>
    <x v="9"/>
    <x v="1"/>
    <x v="2"/>
    <x v="0"/>
    <x v="3"/>
    <x v="1"/>
    <x v="0"/>
    <x v="1"/>
  </r>
  <r>
    <s v="APP027"/>
    <x v="10"/>
    <x v="10"/>
    <x v="3"/>
    <x v="4"/>
    <x v="0"/>
    <x v="0"/>
    <x v="0"/>
    <x v="0"/>
    <x v="0"/>
  </r>
  <r>
    <s v="APP031"/>
    <x v="11"/>
    <x v="11"/>
    <x v="3"/>
    <x v="3"/>
    <x v="0"/>
    <x v="2"/>
    <x v="0"/>
    <x v="0"/>
    <x v="1"/>
  </r>
  <r>
    <s v="APP032"/>
    <x v="12"/>
    <x v="12"/>
    <x v="0"/>
    <x v="3"/>
    <x v="0"/>
    <x v="0"/>
    <x v="0"/>
    <x v="0"/>
    <x v="1"/>
  </r>
  <r>
    <s v="APP034"/>
    <x v="13"/>
    <x v="13"/>
    <x v="0"/>
    <x v="3"/>
    <x v="0"/>
    <x v="2"/>
    <x v="1"/>
    <x v="0"/>
    <x v="1"/>
  </r>
  <r>
    <s v="APP036"/>
    <x v="14"/>
    <x v="14"/>
    <x v="3"/>
    <x v="1"/>
    <x v="1"/>
    <x v="1"/>
    <x v="0"/>
    <x v="1"/>
    <x v="0"/>
  </r>
  <r>
    <s v="APP039"/>
    <x v="15"/>
    <x v="15"/>
    <x v="4"/>
    <x v="0"/>
    <x v="0"/>
    <x v="3"/>
    <x v="2"/>
    <x v="0"/>
    <x v="2"/>
  </r>
  <r>
    <s v="APP041"/>
    <x v="16"/>
    <x v="16"/>
    <x v="4"/>
    <x v="1"/>
    <x v="0"/>
    <x v="0"/>
    <x v="2"/>
    <x v="0"/>
    <x v="1"/>
  </r>
  <r>
    <s v="APP043"/>
    <x v="17"/>
    <x v="17"/>
    <x v="4"/>
    <x v="2"/>
    <x v="0"/>
    <x v="1"/>
    <x v="1"/>
    <x v="0"/>
    <x v="1"/>
  </r>
  <r>
    <s v="APP045"/>
    <x v="18"/>
    <x v="18"/>
    <x v="4"/>
    <x v="3"/>
    <x v="0"/>
    <x v="0"/>
    <x v="0"/>
    <x v="0"/>
    <x v="1"/>
  </r>
  <r>
    <s v="APP046"/>
    <x v="19"/>
    <x v="19"/>
    <x v="1"/>
    <x v="2"/>
    <x v="0"/>
    <x v="1"/>
    <x v="0"/>
    <x v="0"/>
    <x v="0"/>
  </r>
  <r>
    <s v="APP049"/>
    <x v="20"/>
    <x v="20"/>
    <x v="2"/>
    <x v="1"/>
    <x v="1"/>
    <x v="3"/>
    <x v="0"/>
    <x v="1"/>
    <x v="1"/>
  </r>
  <r>
    <s v="APP050"/>
    <x v="19"/>
    <x v="21"/>
    <x v="3"/>
    <x v="3"/>
    <x v="0"/>
    <x v="3"/>
    <x v="2"/>
    <x v="0"/>
    <x v="0"/>
  </r>
  <r>
    <s v="APP051"/>
    <x v="21"/>
    <x v="22"/>
    <x v="3"/>
    <x v="0"/>
    <x v="1"/>
    <x v="1"/>
    <x v="1"/>
    <x v="1"/>
    <x v="1"/>
  </r>
  <r>
    <s v="APP055"/>
    <x v="12"/>
    <x v="23"/>
    <x v="0"/>
    <x v="3"/>
    <x v="1"/>
    <x v="0"/>
    <x v="0"/>
    <x v="1"/>
    <x v="1"/>
  </r>
  <r>
    <s v="APP057"/>
    <x v="22"/>
    <x v="24"/>
    <x v="0"/>
    <x v="1"/>
    <x v="0"/>
    <x v="3"/>
    <x v="0"/>
    <x v="0"/>
    <x v="2"/>
  </r>
  <r>
    <s v="APP060"/>
    <x v="23"/>
    <x v="25"/>
    <x v="2"/>
    <x v="0"/>
    <x v="0"/>
    <x v="3"/>
    <x v="1"/>
    <x v="0"/>
    <x v="1"/>
  </r>
  <r>
    <s v="APP063"/>
    <x v="24"/>
    <x v="26"/>
    <x v="1"/>
    <x v="1"/>
    <x v="0"/>
    <x v="2"/>
    <x v="0"/>
    <x v="0"/>
    <x v="1"/>
  </r>
  <r>
    <s v="APP064"/>
    <x v="25"/>
    <x v="27"/>
    <x v="0"/>
    <x v="0"/>
    <x v="1"/>
    <x v="3"/>
    <x v="1"/>
    <x v="1"/>
    <x v="1"/>
  </r>
  <r>
    <s v="APP066"/>
    <x v="26"/>
    <x v="28"/>
    <x v="4"/>
    <x v="4"/>
    <x v="0"/>
    <x v="3"/>
    <x v="2"/>
    <x v="0"/>
    <x v="0"/>
  </r>
  <r>
    <s v="APP069"/>
    <x v="0"/>
    <x v="29"/>
    <x v="4"/>
    <x v="3"/>
    <x v="0"/>
    <x v="0"/>
    <x v="1"/>
    <x v="0"/>
    <x v="0"/>
  </r>
  <r>
    <s v="APP071"/>
    <x v="7"/>
    <x v="30"/>
    <x v="1"/>
    <x v="4"/>
    <x v="0"/>
    <x v="0"/>
    <x v="2"/>
    <x v="0"/>
    <x v="0"/>
  </r>
  <r>
    <s v="APP073"/>
    <x v="27"/>
    <x v="31"/>
    <x v="2"/>
    <x v="2"/>
    <x v="0"/>
    <x v="1"/>
    <x v="1"/>
    <x v="0"/>
    <x v="1"/>
  </r>
  <r>
    <s v="APP075"/>
    <x v="21"/>
    <x v="32"/>
    <x v="1"/>
    <x v="1"/>
    <x v="0"/>
    <x v="2"/>
    <x v="1"/>
    <x v="0"/>
    <x v="1"/>
  </r>
  <r>
    <s v="APP079"/>
    <x v="28"/>
    <x v="33"/>
    <x v="0"/>
    <x v="1"/>
    <x v="1"/>
    <x v="3"/>
    <x v="2"/>
    <x v="1"/>
    <x v="2"/>
  </r>
  <r>
    <s v="APP080"/>
    <x v="29"/>
    <x v="34"/>
    <x v="1"/>
    <x v="0"/>
    <x v="1"/>
    <x v="1"/>
    <x v="2"/>
    <x v="1"/>
    <x v="1"/>
  </r>
  <r>
    <s v="APP084"/>
    <x v="21"/>
    <x v="35"/>
    <x v="1"/>
    <x v="3"/>
    <x v="0"/>
    <x v="3"/>
    <x v="2"/>
    <x v="0"/>
    <x v="1"/>
  </r>
  <r>
    <s v="APP086"/>
    <x v="12"/>
    <x v="36"/>
    <x v="1"/>
    <x v="2"/>
    <x v="0"/>
    <x v="0"/>
    <x v="2"/>
    <x v="0"/>
    <x v="1"/>
  </r>
  <r>
    <s v="APP090"/>
    <x v="12"/>
    <x v="37"/>
    <x v="2"/>
    <x v="4"/>
    <x v="0"/>
    <x v="3"/>
    <x v="0"/>
    <x v="0"/>
    <x v="1"/>
  </r>
  <r>
    <s v="APP096"/>
    <x v="30"/>
    <x v="38"/>
    <x v="3"/>
    <x v="3"/>
    <x v="1"/>
    <x v="1"/>
    <x v="1"/>
    <x v="1"/>
    <x v="1"/>
  </r>
  <r>
    <s v="APP101"/>
    <x v="31"/>
    <x v="39"/>
    <x v="0"/>
    <x v="2"/>
    <x v="1"/>
    <x v="3"/>
    <x v="0"/>
    <x v="1"/>
    <x v="1"/>
  </r>
  <r>
    <s v="APP103"/>
    <x v="8"/>
    <x v="40"/>
    <x v="0"/>
    <x v="3"/>
    <x v="0"/>
    <x v="1"/>
    <x v="1"/>
    <x v="0"/>
    <x v="2"/>
  </r>
  <r>
    <s v="APP108"/>
    <x v="32"/>
    <x v="41"/>
    <x v="4"/>
    <x v="4"/>
    <x v="0"/>
    <x v="1"/>
    <x v="1"/>
    <x v="0"/>
    <x v="1"/>
  </r>
  <r>
    <s v="APP116"/>
    <x v="33"/>
    <x v="42"/>
    <x v="3"/>
    <x v="2"/>
    <x v="1"/>
    <x v="1"/>
    <x v="2"/>
    <x v="1"/>
    <x v="1"/>
  </r>
  <r>
    <s v="APP118"/>
    <x v="34"/>
    <x v="43"/>
    <x v="0"/>
    <x v="3"/>
    <x v="0"/>
    <x v="1"/>
    <x v="2"/>
    <x v="0"/>
    <x v="0"/>
  </r>
  <r>
    <s v="APP119"/>
    <x v="35"/>
    <x v="44"/>
    <x v="0"/>
    <x v="4"/>
    <x v="1"/>
    <x v="2"/>
    <x v="0"/>
    <x v="1"/>
    <x v="2"/>
  </r>
  <r>
    <s v="APP120"/>
    <x v="36"/>
    <x v="45"/>
    <x v="1"/>
    <x v="1"/>
    <x v="1"/>
    <x v="1"/>
    <x v="1"/>
    <x v="1"/>
    <x v="1"/>
  </r>
  <r>
    <s v="APP123"/>
    <x v="37"/>
    <x v="46"/>
    <x v="4"/>
    <x v="1"/>
    <x v="0"/>
    <x v="1"/>
    <x v="2"/>
    <x v="0"/>
    <x v="1"/>
  </r>
  <r>
    <s v="APP125"/>
    <x v="38"/>
    <x v="47"/>
    <x v="3"/>
    <x v="4"/>
    <x v="0"/>
    <x v="2"/>
    <x v="0"/>
    <x v="0"/>
    <x v="1"/>
  </r>
  <r>
    <s v="APP126"/>
    <x v="39"/>
    <x v="48"/>
    <x v="3"/>
    <x v="3"/>
    <x v="1"/>
    <x v="0"/>
    <x v="2"/>
    <x v="1"/>
    <x v="1"/>
  </r>
  <r>
    <s v="APP127"/>
    <x v="40"/>
    <x v="49"/>
    <x v="0"/>
    <x v="3"/>
    <x v="0"/>
    <x v="0"/>
    <x v="2"/>
    <x v="0"/>
    <x v="1"/>
  </r>
  <r>
    <s v="APP130"/>
    <x v="41"/>
    <x v="50"/>
    <x v="2"/>
    <x v="0"/>
    <x v="0"/>
    <x v="1"/>
    <x v="1"/>
    <x v="0"/>
    <x v="0"/>
  </r>
  <r>
    <s v="APP133"/>
    <x v="42"/>
    <x v="51"/>
    <x v="1"/>
    <x v="2"/>
    <x v="1"/>
    <x v="1"/>
    <x v="1"/>
    <x v="1"/>
    <x v="2"/>
  </r>
  <r>
    <s v="APP145"/>
    <x v="43"/>
    <x v="52"/>
    <x v="3"/>
    <x v="0"/>
    <x v="0"/>
    <x v="3"/>
    <x v="0"/>
    <x v="0"/>
    <x v="1"/>
  </r>
  <r>
    <s v="APP146"/>
    <x v="32"/>
    <x v="53"/>
    <x v="4"/>
    <x v="4"/>
    <x v="0"/>
    <x v="3"/>
    <x v="2"/>
    <x v="0"/>
    <x v="1"/>
  </r>
  <r>
    <s v="APP147"/>
    <x v="44"/>
    <x v="54"/>
    <x v="3"/>
    <x v="0"/>
    <x v="0"/>
    <x v="2"/>
    <x v="0"/>
    <x v="0"/>
    <x v="2"/>
  </r>
  <r>
    <s v="APP153"/>
    <x v="45"/>
    <x v="55"/>
    <x v="4"/>
    <x v="1"/>
    <x v="1"/>
    <x v="0"/>
    <x v="2"/>
    <x v="1"/>
    <x v="1"/>
  </r>
  <r>
    <s v="APP155"/>
    <x v="46"/>
    <x v="56"/>
    <x v="4"/>
    <x v="2"/>
    <x v="0"/>
    <x v="2"/>
    <x v="2"/>
    <x v="0"/>
    <x v="1"/>
  </r>
  <r>
    <s v="APP159"/>
    <x v="47"/>
    <x v="57"/>
    <x v="2"/>
    <x v="4"/>
    <x v="0"/>
    <x v="3"/>
    <x v="1"/>
    <x v="0"/>
    <x v="2"/>
  </r>
  <r>
    <s v="APP162"/>
    <x v="44"/>
    <x v="58"/>
    <x v="2"/>
    <x v="3"/>
    <x v="0"/>
    <x v="3"/>
    <x v="0"/>
    <x v="0"/>
    <x v="2"/>
  </r>
  <r>
    <s v="APP163"/>
    <x v="48"/>
    <x v="59"/>
    <x v="1"/>
    <x v="3"/>
    <x v="1"/>
    <x v="2"/>
    <x v="0"/>
    <x v="1"/>
    <x v="2"/>
  </r>
  <r>
    <s v="APP164"/>
    <x v="22"/>
    <x v="60"/>
    <x v="4"/>
    <x v="2"/>
    <x v="0"/>
    <x v="3"/>
    <x v="0"/>
    <x v="0"/>
    <x v="2"/>
  </r>
  <r>
    <s v="APP168"/>
    <x v="49"/>
    <x v="61"/>
    <x v="2"/>
    <x v="0"/>
    <x v="1"/>
    <x v="0"/>
    <x v="1"/>
    <x v="1"/>
    <x v="1"/>
  </r>
  <r>
    <s v="APP169"/>
    <x v="50"/>
    <x v="62"/>
    <x v="2"/>
    <x v="2"/>
    <x v="1"/>
    <x v="0"/>
    <x v="1"/>
    <x v="1"/>
    <x v="1"/>
  </r>
  <r>
    <s v="APP170"/>
    <x v="51"/>
    <x v="63"/>
    <x v="4"/>
    <x v="2"/>
    <x v="1"/>
    <x v="0"/>
    <x v="1"/>
    <x v="1"/>
    <x v="1"/>
  </r>
  <r>
    <s v="APP171"/>
    <x v="52"/>
    <x v="64"/>
    <x v="4"/>
    <x v="0"/>
    <x v="0"/>
    <x v="1"/>
    <x v="0"/>
    <x v="0"/>
    <x v="2"/>
  </r>
  <r>
    <s v="APP172"/>
    <x v="53"/>
    <x v="65"/>
    <x v="0"/>
    <x v="4"/>
    <x v="0"/>
    <x v="2"/>
    <x v="2"/>
    <x v="0"/>
    <x v="1"/>
  </r>
  <r>
    <s v="APP177"/>
    <x v="3"/>
    <x v="66"/>
    <x v="3"/>
    <x v="4"/>
    <x v="0"/>
    <x v="2"/>
    <x v="2"/>
    <x v="0"/>
    <x v="1"/>
  </r>
  <r>
    <s v="APP181"/>
    <x v="54"/>
    <x v="67"/>
    <x v="2"/>
    <x v="4"/>
    <x v="1"/>
    <x v="0"/>
    <x v="1"/>
    <x v="1"/>
    <x v="1"/>
  </r>
  <r>
    <s v="APP184"/>
    <x v="11"/>
    <x v="68"/>
    <x v="2"/>
    <x v="3"/>
    <x v="0"/>
    <x v="2"/>
    <x v="0"/>
    <x v="0"/>
    <x v="1"/>
  </r>
  <r>
    <s v="APP188"/>
    <x v="55"/>
    <x v="69"/>
    <x v="1"/>
    <x v="4"/>
    <x v="0"/>
    <x v="2"/>
    <x v="0"/>
    <x v="0"/>
    <x v="1"/>
  </r>
  <r>
    <s v="APP189"/>
    <x v="56"/>
    <x v="70"/>
    <x v="1"/>
    <x v="3"/>
    <x v="1"/>
    <x v="0"/>
    <x v="0"/>
    <x v="1"/>
    <x v="0"/>
  </r>
  <r>
    <s v="APP193"/>
    <x v="57"/>
    <x v="71"/>
    <x v="4"/>
    <x v="4"/>
    <x v="0"/>
    <x v="0"/>
    <x v="1"/>
    <x v="0"/>
    <x v="2"/>
  </r>
  <r>
    <s v="APP194"/>
    <x v="58"/>
    <x v="72"/>
    <x v="3"/>
    <x v="2"/>
    <x v="1"/>
    <x v="3"/>
    <x v="1"/>
    <x v="1"/>
    <x v="1"/>
  </r>
  <r>
    <s v="APP195"/>
    <x v="58"/>
    <x v="73"/>
    <x v="2"/>
    <x v="0"/>
    <x v="0"/>
    <x v="1"/>
    <x v="1"/>
    <x v="0"/>
    <x v="1"/>
  </r>
  <r>
    <s v="APP198"/>
    <x v="59"/>
    <x v="74"/>
    <x v="4"/>
    <x v="4"/>
    <x v="1"/>
    <x v="0"/>
    <x v="2"/>
    <x v="1"/>
    <x v="0"/>
  </r>
  <r>
    <s v="APP201"/>
    <x v="60"/>
    <x v="75"/>
    <x v="2"/>
    <x v="0"/>
    <x v="0"/>
    <x v="0"/>
    <x v="0"/>
    <x v="0"/>
    <x v="1"/>
  </r>
  <r>
    <s v="APP202"/>
    <x v="61"/>
    <x v="76"/>
    <x v="1"/>
    <x v="3"/>
    <x v="0"/>
    <x v="3"/>
    <x v="1"/>
    <x v="0"/>
    <x v="0"/>
  </r>
  <r>
    <s v="APP204"/>
    <x v="62"/>
    <x v="77"/>
    <x v="1"/>
    <x v="0"/>
    <x v="0"/>
    <x v="3"/>
    <x v="2"/>
    <x v="0"/>
    <x v="2"/>
  </r>
  <r>
    <s v="APP211"/>
    <x v="63"/>
    <x v="78"/>
    <x v="0"/>
    <x v="4"/>
    <x v="1"/>
    <x v="1"/>
    <x v="2"/>
    <x v="1"/>
    <x v="1"/>
  </r>
  <r>
    <s v="APP218"/>
    <x v="64"/>
    <x v="79"/>
    <x v="3"/>
    <x v="1"/>
    <x v="0"/>
    <x v="3"/>
    <x v="1"/>
    <x v="0"/>
    <x v="1"/>
  </r>
  <r>
    <s v="APP221"/>
    <x v="65"/>
    <x v="80"/>
    <x v="1"/>
    <x v="0"/>
    <x v="0"/>
    <x v="0"/>
    <x v="2"/>
    <x v="0"/>
    <x v="1"/>
  </r>
  <r>
    <s v="APP225"/>
    <x v="66"/>
    <x v="81"/>
    <x v="3"/>
    <x v="2"/>
    <x v="1"/>
    <x v="2"/>
    <x v="2"/>
    <x v="1"/>
    <x v="0"/>
  </r>
  <r>
    <s v="APP228"/>
    <x v="67"/>
    <x v="82"/>
    <x v="3"/>
    <x v="3"/>
    <x v="1"/>
    <x v="3"/>
    <x v="0"/>
    <x v="1"/>
    <x v="1"/>
  </r>
  <r>
    <s v="APP229"/>
    <x v="68"/>
    <x v="83"/>
    <x v="1"/>
    <x v="3"/>
    <x v="0"/>
    <x v="2"/>
    <x v="0"/>
    <x v="0"/>
    <x v="0"/>
  </r>
  <r>
    <s v="APP231"/>
    <x v="57"/>
    <x v="84"/>
    <x v="0"/>
    <x v="4"/>
    <x v="0"/>
    <x v="0"/>
    <x v="2"/>
    <x v="0"/>
    <x v="2"/>
  </r>
  <r>
    <s v="APP235"/>
    <x v="69"/>
    <x v="85"/>
    <x v="0"/>
    <x v="3"/>
    <x v="0"/>
    <x v="0"/>
    <x v="1"/>
    <x v="0"/>
    <x v="1"/>
  </r>
  <r>
    <s v="APP236"/>
    <x v="70"/>
    <x v="86"/>
    <x v="1"/>
    <x v="0"/>
    <x v="0"/>
    <x v="2"/>
    <x v="1"/>
    <x v="0"/>
    <x v="2"/>
  </r>
  <r>
    <s v="APP237"/>
    <x v="71"/>
    <x v="87"/>
    <x v="1"/>
    <x v="1"/>
    <x v="0"/>
    <x v="2"/>
    <x v="2"/>
    <x v="0"/>
    <x v="1"/>
  </r>
  <r>
    <s v="APP239"/>
    <x v="8"/>
    <x v="88"/>
    <x v="4"/>
    <x v="2"/>
    <x v="0"/>
    <x v="2"/>
    <x v="2"/>
    <x v="0"/>
    <x v="2"/>
  </r>
  <r>
    <s v="APP241"/>
    <x v="49"/>
    <x v="89"/>
    <x v="3"/>
    <x v="0"/>
    <x v="0"/>
    <x v="2"/>
    <x v="2"/>
    <x v="0"/>
    <x v="1"/>
  </r>
  <r>
    <s v="APP244"/>
    <x v="44"/>
    <x v="90"/>
    <x v="2"/>
    <x v="2"/>
    <x v="0"/>
    <x v="1"/>
    <x v="1"/>
    <x v="0"/>
    <x v="2"/>
  </r>
  <r>
    <s v="APP245"/>
    <x v="72"/>
    <x v="91"/>
    <x v="2"/>
    <x v="0"/>
    <x v="0"/>
    <x v="3"/>
    <x v="2"/>
    <x v="0"/>
    <x v="1"/>
  </r>
  <r>
    <s v="APP248"/>
    <x v="73"/>
    <x v="92"/>
    <x v="4"/>
    <x v="4"/>
    <x v="0"/>
    <x v="1"/>
    <x v="1"/>
    <x v="0"/>
    <x v="0"/>
  </r>
  <r>
    <s v="APP254"/>
    <x v="47"/>
    <x v="93"/>
    <x v="1"/>
    <x v="0"/>
    <x v="1"/>
    <x v="2"/>
    <x v="2"/>
    <x v="1"/>
    <x v="2"/>
  </r>
  <r>
    <s v="APP257"/>
    <x v="74"/>
    <x v="94"/>
    <x v="0"/>
    <x v="3"/>
    <x v="0"/>
    <x v="2"/>
    <x v="0"/>
    <x v="0"/>
    <x v="1"/>
  </r>
  <r>
    <s v="APP260"/>
    <x v="4"/>
    <x v="95"/>
    <x v="4"/>
    <x v="3"/>
    <x v="0"/>
    <x v="3"/>
    <x v="0"/>
    <x v="0"/>
    <x v="1"/>
  </r>
  <r>
    <s v="APP261"/>
    <x v="72"/>
    <x v="96"/>
    <x v="3"/>
    <x v="0"/>
    <x v="0"/>
    <x v="2"/>
    <x v="1"/>
    <x v="0"/>
    <x v="1"/>
  </r>
  <r>
    <s v="APP266"/>
    <x v="22"/>
    <x v="97"/>
    <x v="1"/>
    <x v="4"/>
    <x v="0"/>
    <x v="2"/>
    <x v="2"/>
    <x v="0"/>
    <x v="2"/>
  </r>
  <r>
    <s v="APP268"/>
    <x v="6"/>
    <x v="98"/>
    <x v="4"/>
    <x v="1"/>
    <x v="1"/>
    <x v="2"/>
    <x v="0"/>
    <x v="1"/>
    <x v="1"/>
  </r>
  <r>
    <s v="APP271"/>
    <x v="73"/>
    <x v="99"/>
    <x v="0"/>
    <x v="4"/>
    <x v="0"/>
    <x v="1"/>
    <x v="2"/>
    <x v="0"/>
    <x v="0"/>
  </r>
  <r>
    <s v="APP275"/>
    <x v="39"/>
    <x v="100"/>
    <x v="1"/>
    <x v="1"/>
    <x v="0"/>
    <x v="2"/>
    <x v="1"/>
    <x v="0"/>
    <x v="1"/>
  </r>
  <r>
    <s v="APP280"/>
    <x v="71"/>
    <x v="101"/>
    <x v="2"/>
    <x v="4"/>
    <x v="1"/>
    <x v="1"/>
    <x v="2"/>
    <x v="1"/>
    <x v="1"/>
  </r>
  <r>
    <s v="APP284"/>
    <x v="46"/>
    <x v="102"/>
    <x v="1"/>
    <x v="1"/>
    <x v="0"/>
    <x v="1"/>
    <x v="2"/>
    <x v="0"/>
    <x v="1"/>
  </r>
  <r>
    <s v="APP285"/>
    <x v="75"/>
    <x v="103"/>
    <x v="0"/>
    <x v="0"/>
    <x v="0"/>
    <x v="0"/>
    <x v="2"/>
    <x v="0"/>
    <x v="1"/>
  </r>
  <r>
    <s v="APP286"/>
    <x v="76"/>
    <x v="104"/>
    <x v="3"/>
    <x v="4"/>
    <x v="0"/>
    <x v="0"/>
    <x v="0"/>
    <x v="0"/>
    <x v="1"/>
  </r>
  <r>
    <s v="APP290"/>
    <x v="77"/>
    <x v="105"/>
    <x v="3"/>
    <x v="4"/>
    <x v="1"/>
    <x v="1"/>
    <x v="0"/>
    <x v="1"/>
    <x v="1"/>
  </r>
  <r>
    <s v="APP291"/>
    <x v="11"/>
    <x v="106"/>
    <x v="0"/>
    <x v="4"/>
    <x v="1"/>
    <x v="0"/>
    <x v="1"/>
    <x v="1"/>
    <x v="1"/>
  </r>
  <r>
    <s v="APP293"/>
    <x v="78"/>
    <x v="107"/>
    <x v="2"/>
    <x v="1"/>
    <x v="0"/>
    <x v="2"/>
    <x v="2"/>
    <x v="0"/>
    <x v="2"/>
  </r>
  <r>
    <s v="APP294"/>
    <x v="50"/>
    <x v="108"/>
    <x v="1"/>
    <x v="4"/>
    <x v="0"/>
    <x v="2"/>
    <x v="0"/>
    <x v="0"/>
    <x v="1"/>
  </r>
  <r>
    <s v="APP295"/>
    <x v="43"/>
    <x v="109"/>
    <x v="4"/>
    <x v="1"/>
    <x v="0"/>
    <x v="0"/>
    <x v="2"/>
    <x v="0"/>
    <x v="1"/>
  </r>
  <r>
    <s v="APP296"/>
    <x v="66"/>
    <x v="110"/>
    <x v="1"/>
    <x v="4"/>
    <x v="1"/>
    <x v="1"/>
    <x v="0"/>
    <x v="1"/>
    <x v="0"/>
  </r>
  <r>
    <s v="APP297"/>
    <x v="79"/>
    <x v="111"/>
    <x v="0"/>
    <x v="3"/>
    <x v="0"/>
    <x v="1"/>
    <x v="1"/>
    <x v="0"/>
    <x v="2"/>
  </r>
  <r>
    <s v="APP300"/>
    <x v="80"/>
    <x v="112"/>
    <x v="3"/>
    <x v="3"/>
    <x v="0"/>
    <x v="3"/>
    <x v="0"/>
    <x v="0"/>
    <x v="1"/>
  </r>
  <r>
    <s v="APP302"/>
    <x v="81"/>
    <x v="113"/>
    <x v="3"/>
    <x v="1"/>
    <x v="0"/>
    <x v="2"/>
    <x v="1"/>
    <x v="0"/>
    <x v="1"/>
  </r>
  <r>
    <s v="APP304"/>
    <x v="82"/>
    <x v="114"/>
    <x v="2"/>
    <x v="2"/>
    <x v="0"/>
    <x v="1"/>
    <x v="1"/>
    <x v="0"/>
    <x v="0"/>
  </r>
  <r>
    <s v="APP313"/>
    <x v="83"/>
    <x v="115"/>
    <x v="3"/>
    <x v="0"/>
    <x v="0"/>
    <x v="0"/>
    <x v="0"/>
    <x v="0"/>
    <x v="1"/>
  </r>
  <r>
    <s v="APP314"/>
    <x v="81"/>
    <x v="116"/>
    <x v="1"/>
    <x v="0"/>
    <x v="0"/>
    <x v="2"/>
    <x v="0"/>
    <x v="0"/>
    <x v="1"/>
  </r>
  <r>
    <s v="APP316"/>
    <x v="84"/>
    <x v="117"/>
    <x v="3"/>
    <x v="4"/>
    <x v="0"/>
    <x v="3"/>
    <x v="1"/>
    <x v="0"/>
    <x v="1"/>
  </r>
  <r>
    <s v="APP317"/>
    <x v="85"/>
    <x v="118"/>
    <x v="0"/>
    <x v="0"/>
    <x v="0"/>
    <x v="3"/>
    <x v="0"/>
    <x v="0"/>
    <x v="0"/>
  </r>
  <r>
    <s v="APP322"/>
    <x v="86"/>
    <x v="119"/>
    <x v="4"/>
    <x v="2"/>
    <x v="0"/>
    <x v="3"/>
    <x v="0"/>
    <x v="0"/>
    <x v="2"/>
  </r>
  <r>
    <s v="APP325"/>
    <x v="11"/>
    <x v="120"/>
    <x v="4"/>
    <x v="0"/>
    <x v="0"/>
    <x v="0"/>
    <x v="0"/>
    <x v="0"/>
    <x v="1"/>
  </r>
  <r>
    <s v="APP328"/>
    <x v="87"/>
    <x v="121"/>
    <x v="4"/>
    <x v="1"/>
    <x v="0"/>
    <x v="1"/>
    <x v="2"/>
    <x v="0"/>
    <x v="0"/>
  </r>
  <r>
    <s v="APP331"/>
    <x v="88"/>
    <x v="122"/>
    <x v="4"/>
    <x v="4"/>
    <x v="0"/>
    <x v="1"/>
    <x v="1"/>
    <x v="0"/>
    <x v="1"/>
  </r>
  <r>
    <s v="APP332"/>
    <x v="89"/>
    <x v="123"/>
    <x v="4"/>
    <x v="1"/>
    <x v="0"/>
    <x v="0"/>
    <x v="1"/>
    <x v="0"/>
    <x v="2"/>
  </r>
  <r>
    <s v="APP333"/>
    <x v="90"/>
    <x v="124"/>
    <x v="1"/>
    <x v="3"/>
    <x v="0"/>
    <x v="0"/>
    <x v="0"/>
    <x v="0"/>
    <x v="1"/>
  </r>
  <r>
    <s v="APP335"/>
    <x v="91"/>
    <x v="125"/>
    <x v="1"/>
    <x v="1"/>
    <x v="1"/>
    <x v="0"/>
    <x v="2"/>
    <x v="1"/>
    <x v="1"/>
  </r>
  <r>
    <s v="APP336"/>
    <x v="92"/>
    <x v="126"/>
    <x v="0"/>
    <x v="3"/>
    <x v="0"/>
    <x v="3"/>
    <x v="0"/>
    <x v="0"/>
    <x v="1"/>
  </r>
  <r>
    <s v="APP338"/>
    <x v="93"/>
    <x v="127"/>
    <x v="3"/>
    <x v="1"/>
    <x v="1"/>
    <x v="1"/>
    <x v="0"/>
    <x v="1"/>
    <x v="1"/>
  </r>
  <r>
    <s v="APP345"/>
    <x v="94"/>
    <x v="128"/>
    <x v="0"/>
    <x v="3"/>
    <x v="0"/>
    <x v="3"/>
    <x v="2"/>
    <x v="0"/>
    <x v="2"/>
  </r>
  <r>
    <s v="APP346"/>
    <x v="95"/>
    <x v="129"/>
    <x v="2"/>
    <x v="4"/>
    <x v="0"/>
    <x v="1"/>
    <x v="1"/>
    <x v="0"/>
    <x v="1"/>
  </r>
  <r>
    <s v="APP347"/>
    <x v="96"/>
    <x v="130"/>
    <x v="1"/>
    <x v="2"/>
    <x v="0"/>
    <x v="1"/>
    <x v="2"/>
    <x v="0"/>
    <x v="2"/>
  </r>
  <r>
    <s v="APP351"/>
    <x v="97"/>
    <x v="131"/>
    <x v="0"/>
    <x v="3"/>
    <x v="0"/>
    <x v="0"/>
    <x v="0"/>
    <x v="0"/>
    <x v="1"/>
  </r>
  <r>
    <s v="APP352"/>
    <x v="36"/>
    <x v="132"/>
    <x v="3"/>
    <x v="0"/>
    <x v="0"/>
    <x v="0"/>
    <x v="0"/>
    <x v="0"/>
    <x v="1"/>
  </r>
  <r>
    <s v="APP355"/>
    <x v="9"/>
    <x v="133"/>
    <x v="0"/>
    <x v="4"/>
    <x v="1"/>
    <x v="2"/>
    <x v="1"/>
    <x v="1"/>
    <x v="1"/>
  </r>
  <r>
    <s v="APP356"/>
    <x v="23"/>
    <x v="134"/>
    <x v="3"/>
    <x v="0"/>
    <x v="0"/>
    <x v="1"/>
    <x v="2"/>
    <x v="0"/>
    <x v="1"/>
  </r>
  <r>
    <s v="APP357"/>
    <x v="98"/>
    <x v="135"/>
    <x v="0"/>
    <x v="1"/>
    <x v="0"/>
    <x v="2"/>
    <x v="2"/>
    <x v="0"/>
    <x v="1"/>
  </r>
  <r>
    <s v="APP362"/>
    <x v="14"/>
    <x v="136"/>
    <x v="4"/>
    <x v="2"/>
    <x v="0"/>
    <x v="1"/>
    <x v="1"/>
    <x v="0"/>
    <x v="0"/>
  </r>
  <r>
    <s v="APP364"/>
    <x v="99"/>
    <x v="137"/>
    <x v="4"/>
    <x v="2"/>
    <x v="0"/>
    <x v="0"/>
    <x v="2"/>
    <x v="0"/>
    <x v="1"/>
  </r>
  <r>
    <s v="APP366"/>
    <x v="0"/>
    <x v="138"/>
    <x v="3"/>
    <x v="2"/>
    <x v="0"/>
    <x v="2"/>
    <x v="2"/>
    <x v="0"/>
    <x v="0"/>
  </r>
  <r>
    <s v="APP367"/>
    <x v="67"/>
    <x v="139"/>
    <x v="4"/>
    <x v="2"/>
    <x v="0"/>
    <x v="0"/>
    <x v="0"/>
    <x v="0"/>
    <x v="1"/>
  </r>
  <r>
    <s v="APP368"/>
    <x v="61"/>
    <x v="140"/>
    <x v="2"/>
    <x v="1"/>
    <x v="0"/>
    <x v="2"/>
    <x v="0"/>
    <x v="0"/>
    <x v="0"/>
  </r>
  <r>
    <s v="APP369"/>
    <x v="73"/>
    <x v="141"/>
    <x v="2"/>
    <x v="0"/>
    <x v="0"/>
    <x v="0"/>
    <x v="2"/>
    <x v="0"/>
    <x v="0"/>
  </r>
  <r>
    <s v="APP371"/>
    <x v="72"/>
    <x v="142"/>
    <x v="0"/>
    <x v="0"/>
    <x v="0"/>
    <x v="2"/>
    <x v="2"/>
    <x v="0"/>
    <x v="1"/>
  </r>
  <r>
    <s v="APP372"/>
    <x v="100"/>
    <x v="143"/>
    <x v="3"/>
    <x v="4"/>
    <x v="0"/>
    <x v="3"/>
    <x v="0"/>
    <x v="0"/>
    <x v="1"/>
  </r>
  <r>
    <s v="APP374"/>
    <x v="49"/>
    <x v="144"/>
    <x v="2"/>
    <x v="2"/>
    <x v="0"/>
    <x v="2"/>
    <x v="1"/>
    <x v="0"/>
    <x v="1"/>
  </r>
  <r>
    <s v="APP376"/>
    <x v="101"/>
    <x v="145"/>
    <x v="2"/>
    <x v="2"/>
    <x v="0"/>
    <x v="2"/>
    <x v="1"/>
    <x v="0"/>
    <x v="1"/>
  </r>
  <r>
    <s v="APP377"/>
    <x v="64"/>
    <x v="146"/>
    <x v="0"/>
    <x v="1"/>
    <x v="0"/>
    <x v="2"/>
    <x v="2"/>
    <x v="0"/>
    <x v="1"/>
  </r>
  <r>
    <s v="APP379"/>
    <x v="17"/>
    <x v="147"/>
    <x v="1"/>
    <x v="3"/>
    <x v="1"/>
    <x v="1"/>
    <x v="2"/>
    <x v="1"/>
    <x v="1"/>
  </r>
  <r>
    <s v="APP382"/>
    <x v="102"/>
    <x v="148"/>
    <x v="0"/>
    <x v="2"/>
    <x v="1"/>
    <x v="2"/>
    <x v="1"/>
    <x v="1"/>
    <x v="1"/>
  </r>
  <r>
    <s v="APP387"/>
    <x v="103"/>
    <x v="149"/>
    <x v="2"/>
    <x v="2"/>
    <x v="0"/>
    <x v="0"/>
    <x v="1"/>
    <x v="0"/>
    <x v="1"/>
  </r>
  <r>
    <s v="APP389"/>
    <x v="104"/>
    <x v="150"/>
    <x v="4"/>
    <x v="3"/>
    <x v="0"/>
    <x v="2"/>
    <x v="0"/>
    <x v="0"/>
    <x v="1"/>
  </r>
  <r>
    <s v="APP393"/>
    <x v="92"/>
    <x v="151"/>
    <x v="0"/>
    <x v="1"/>
    <x v="0"/>
    <x v="2"/>
    <x v="0"/>
    <x v="0"/>
    <x v="1"/>
  </r>
  <r>
    <s v="APP394"/>
    <x v="105"/>
    <x v="152"/>
    <x v="2"/>
    <x v="2"/>
    <x v="0"/>
    <x v="2"/>
    <x v="1"/>
    <x v="0"/>
    <x v="1"/>
  </r>
  <r>
    <s v="APP395"/>
    <x v="106"/>
    <x v="153"/>
    <x v="2"/>
    <x v="1"/>
    <x v="1"/>
    <x v="0"/>
    <x v="1"/>
    <x v="1"/>
    <x v="1"/>
  </r>
  <r>
    <s v="APP398"/>
    <x v="107"/>
    <x v="154"/>
    <x v="4"/>
    <x v="4"/>
    <x v="0"/>
    <x v="0"/>
    <x v="0"/>
    <x v="0"/>
    <x v="1"/>
  </r>
  <r>
    <s v="APP399"/>
    <x v="45"/>
    <x v="155"/>
    <x v="2"/>
    <x v="3"/>
    <x v="1"/>
    <x v="3"/>
    <x v="2"/>
    <x v="1"/>
    <x v="1"/>
  </r>
  <r>
    <s v="APP402"/>
    <x v="108"/>
    <x v="156"/>
    <x v="3"/>
    <x v="0"/>
    <x v="1"/>
    <x v="3"/>
    <x v="2"/>
    <x v="1"/>
    <x v="1"/>
  </r>
  <r>
    <s v="APP407"/>
    <x v="58"/>
    <x v="157"/>
    <x v="2"/>
    <x v="0"/>
    <x v="0"/>
    <x v="2"/>
    <x v="1"/>
    <x v="0"/>
    <x v="1"/>
  </r>
  <r>
    <s v="APP408"/>
    <x v="71"/>
    <x v="158"/>
    <x v="3"/>
    <x v="3"/>
    <x v="0"/>
    <x v="2"/>
    <x v="0"/>
    <x v="0"/>
    <x v="1"/>
  </r>
  <r>
    <s v="APP415"/>
    <x v="109"/>
    <x v="159"/>
    <x v="1"/>
    <x v="4"/>
    <x v="0"/>
    <x v="0"/>
    <x v="0"/>
    <x v="0"/>
    <x v="0"/>
  </r>
  <r>
    <s v="APP416"/>
    <x v="110"/>
    <x v="160"/>
    <x v="1"/>
    <x v="2"/>
    <x v="0"/>
    <x v="0"/>
    <x v="0"/>
    <x v="0"/>
    <x v="2"/>
  </r>
  <r>
    <s v="APP417"/>
    <x v="27"/>
    <x v="161"/>
    <x v="2"/>
    <x v="3"/>
    <x v="0"/>
    <x v="0"/>
    <x v="0"/>
    <x v="0"/>
    <x v="1"/>
  </r>
  <r>
    <s v="APP418"/>
    <x v="111"/>
    <x v="162"/>
    <x v="4"/>
    <x v="3"/>
    <x v="0"/>
    <x v="0"/>
    <x v="1"/>
    <x v="0"/>
    <x v="1"/>
  </r>
  <r>
    <s v="APP419"/>
    <x v="112"/>
    <x v="163"/>
    <x v="2"/>
    <x v="0"/>
    <x v="0"/>
    <x v="1"/>
    <x v="0"/>
    <x v="0"/>
    <x v="1"/>
  </r>
  <r>
    <s v="APP420"/>
    <x v="37"/>
    <x v="164"/>
    <x v="2"/>
    <x v="3"/>
    <x v="1"/>
    <x v="3"/>
    <x v="0"/>
    <x v="1"/>
    <x v="1"/>
  </r>
  <r>
    <s v="APP421"/>
    <x v="89"/>
    <x v="24"/>
    <x v="3"/>
    <x v="1"/>
    <x v="0"/>
    <x v="1"/>
    <x v="2"/>
    <x v="0"/>
    <x v="2"/>
  </r>
  <r>
    <s v="APP423"/>
    <x v="113"/>
    <x v="165"/>
    <x v="4"/>
    <x v="1"/>
    <x v="0"/>
    <x v="1"/>
    <x v="0"/>
    <x v="0"/>
    <x v="1"/>
  </r>
  <r>
    <s v="APP424"/>
    <x v="114"/>
    <x v="166"/>
    <x v="4"/>
    <x v="3"/>
    <x v="0"/>
    <x v="1"/>
    <x v="1"/>
    <x v="0"/>
    <x v="1"/>
  </r>
  <r>
    <s v="APP425"/>
    <x v="48"/>
    <x v="167"/>
    <x v="2"/>
    <x v="0"/>
    <x v="0"/>
    <x v="3"/>
    <x v="0"/>
    <x v="0"/>
    <x v="2"/>
  </r>
  <r>
    <s v="APP427"/>
    <x v="115"/>
    <x v="168"/>
    <x v="1"/>
    <x v="0"/>
    <x v="0"/>
    <x v="1"/>
    <x v="2"/>
    <x v="0"/>
    <x v="1"/>
  </r>
  <r>
    <s v="APP429"/>
    <x v="71"/>
    <x v="169"/>
    <x v="2"/>
    <x v="0"/>
    <x v="1"/>
    <x v="2"/>
    <x v="0"/>
    <x v="1"/>
    <x v="1"/>
  </r>
  <r>
    <s v="APP432"/>
    <x v="116"/>
    <x v="170"/>
    <x v="3"/>
    <x v="2"/>
    <x v="0"/>
    <x v="1"/>
    <x v="0"/>
    <x v="0"/>
    <x v="1"/>
  </r>
  <r>
    <s v="APP433"/>
    <x v="117"/>
    <x v="171"/>
    <x v="0"/>
    <x v="3"/>
    <x v="1"/>
    <x v="0"/>
    <x v="0"/>
    <x v="1"/>
    <x v="2"/>
  </r>
  <r>
    <s v="APP435"/>
    <x v="49"/>
    <x v="172"/>
    <x v="2"/>
    <x v="2"/>
    <x v="0"/>
    <x v="0"/>
    <x v="0"/>
    <x v="0"/>
    <x v="1"/>
  </r>
  <r>
    <s v="APP437"/>
    <x v="51"/>
    <x v="173"/>
    <x v="1"/>
    <x v="1"/>
    <x v="0"/>
    <x v="0"/>
    <x v="0"/>
    <x v="0"/>
    <x v="1"/>
  </r>
  <r>
    <s v="APP440"/>
    <x v="21"/>
    <x v="174"/>
    <x v="1"/>
    <x v="4"/>
    <x v="0"/>
    <x v="2"/>
    <x v="1"/>
    <x v="0"/>
    <x v="1"/>
  </r>
  <r>
    <s v="APP441"/>
    <x v="118"/>
    <x v="175"/>
    <x v="2"/>
    <x v="2"/>
    <x v="0"/>
    <x v="2"/>
    <x v="1"/>
    <x v="0"/>
    <x v="1"/>
  </r>
  <r>
    <s v="APP442"/>
    <x v="119"/>
    <x v="176"/>
    <x v="2"/>
    <x v="4"/>
    <x v="0"/>
    <x v="3"/>
    <x v="0"/>
    <x v="0"/>
    <x v="1"/>
  </r>
  <r>
    <s v="APP445"/>
    <x v="120"/>
    <x v="177"/>
    <x v="4"/>
    <x v="4"/>
    <x v="0"/>
    <x v="1"/>
    <x v="0"/>
    <x v="0"/>
    <x v="1"/>
  </r>
  <r>
    <s v="APP448"/>
    <x v="121"/>
    <x v="178"/>
    <x v="3"/>
    <x v="0"/>
    <x v="0"/>
    <x v="1"/>
    <x v="2"/>
    <x v="0"/>
    <x v="1"/>
  </r>
  <r>
    <s v="APP449"/>
    <x v="111"/>
    <x v="179"/>
    <x v="0"/>
    <x v="1"/>
    <x v="0"/>
    <x v="0"/>
    <x v="1"/>
    <x v="0"/>
    <x v="1"/>
  </r>
  <r>
    <s v="APP451"/>
    <x v="62"/>
    <x v="180"/>
    <x v="2"/>
    <x v="3"/>
    <x v="1"/>
    <x v="0"/>
    <x v="1"/>
    <x v="1"/>
    <x v="2"/>
  </r>
  <r>
    <s v="APP455"/>
    <x v="122"/>
    <x v="181"/>
    <x v="0"/>
    <x v="4"/>
    <x v="0"/>
    <x v="0"/>
    <x v="2"/>
    <x v="0"/>
    <x v="1"/>
  </r>
  <r>
    <s v="APP456"/>
    <x v="113"/>
    <x v="182"/>
    <x v="0"/>
    <x v="0"/>
    <x v="0"/>
    <x v="1"/>
    <x v="1"/>
    <x v="0"/>
    <x v="1"/>
  </r>
  <r>
    <s v="APP457"/>
    <x v="25"/>
    <x v="183"/>
    <x v="1"/>
    <x v="3"/>
    <x v="1"/>
    <x v="2"/>
    <x v="0"/>
    <x v="1"/>
    <x v="1"/>
  </r>
  <r>
    <s v="APP458"/>
    <x v="107"/>
    <x v="184"/>
    <x v="4"/>
    <x v="0"/>
    <x v="1"/>
    <x v="1"/>
    <x v="2"/>
    <x v="1"/>
    <x v="1"/>
  </r>
  <r>
    <s v="APP460"/>
    <x v="123"/>
    <x v="185"/>
    <x v="4"/>
    <x v="4"/>
    <x v="0"/>
    <x v="1"/>
    <x v="1"/>
    <x v="0"/>
    <x v="1"/>
  </r>
  <r>
    <s v="APP461"/>
    <x v="87"/>
    <x v="186"/>
    <x v="3"/>
    <x v="3"/>
    <x v="0"/>
    <x v="2"/>
    <x v="0"/>
    <x v="0"/>
    <x v="0"/>
  </r>
  <r>
    <s v="APP463"/>
    <x v="124"/>
    <x v="187"/>
    <x v="3"/>
    <x v="1"/>
    <x v="1"/>
    <x v="2"/>
    <x v="2"/>
    <x v="1"/>
    <x v="2"/>
  </r>
  <r>
    <s v="APP465"/>
    <x v="125"/>
    <x v="188"/>
    <x v="1"/>
    <x v="4"/>
    <x v="0"/>
    <x v="2"/>
    <x v="1"/>
    <x v="0"/>
    <x v="1"/>
  </r>
  <r>
    <s v="APP466"/>
    <x v="126"/>
    <x v="189"/>
    <x v="0"/>
    <x v="4"/>
    <x v="1"/>
    <x v="3"/>
    <x v="1"/>
    <x v="1"/>
    <x v="1"/>
  </r>
  <r>
    <s v="APP469"/>
    <x v="92"/>
    <x v="190"/>
    <x v="3"/>
    <x v="3"/>
    <x v="1"/>
    <x v="0"/>
    <x v="2"/>
    <x v="1"/>
    <x v="1"/>
  </r>
  <r>
    <s v="APP471"/>
    <x v="0"/>
    <x v="191"/>
    <x v="2"/>
    <x v="4"/>
    <x v="1"/>
    <x v="2"/>
    <x v="0"/>
    <x v="1"/>
    <x v="0"/>
  </r>
  <r>
    <s v="APP472"/>
    <x v="90"/>
    <x v="192"/>
    <x v="4"/>
    <x v="0"/>
    <x v="0"/>
    <x v="2"/>
    <x v="2"/>
    <x v="0"/>
    <x v="1"/>
  </r>
  <r>
    <s v="APP475"/>
    <x v="57"/>
    <x v="193"/>
    <x v="3"/>
    <x v="4"/>
    <x v="1"/>
    <x v="3"/>
    <x v="1"/>
    <x v="1"/>
    <x v="2"/>
  </r>
  <r>
    <s v="APP477"/>
    <x v="71"/>
    <x v="194"/>
    <x v="4"/>
    <x v="4"/>
    <x v="0"/>
    <x v="1"/>
    <x v="1"/>
    <x v="0"/>
    <x v="1"/>
  </r>
  <r>
    <s v="APP478"/>
    <x v="65"/>
    <x v="195"/>
    <x v="0"/>
    <x v="0"/>
    <x v="1"/>
    <x v="3"/>
    <x v="0"/>
    <x v="1"/>
    <x v="1"/>
  </r>
  <r>
    <s v="APP479"/>
    <x v="127"/>
    <x v="143"/>
    <x v="4"/>
    <x v="1"/>
    <x v="0"/>
    <x v="3"/>
    <x v="1"/>
    <x v="0"/>
    <x v="1"/>
  </r>
  <r>
    <s v="APP481"/>
    <x v="3"/>
    <x v="196"/>
    <x v="1"/>
    <x v="2"/>
    <x v="0"/>
    <x v="3"/>
    <x v="2"/>
    <x v="0"/>
    <x v="1"/>
  </r>
  <r>
    <s v="APP482"/>
    <x v="128"/>
    <x v="197"/>
    <x v="3"/>
    <x v="1"/>
    <x v="0"/>
    <x v="3"/>
    <x v="2"/>
    <x v="0"/>
    <x v="0"/>
  </r>
  <r>
    <s v="APP485"/>
    <x v="32"/>
    <x v="198"/>
    <x v="3"/>
    <x v="0"/>
    <x v="1"/>
    <x v="0"/>
    <x v="1"/>
    <x v="1"/>
    <x v="1"/>
  </r>
  <r>
    <s v="APP490"/>
    <x v="75"/>
    <x v="199"/>
    <x v="3"/>
    <x v="4"/>
    <x v="0"/>
    <x v="2"/>
    <x v="2"/>
    <x v="0"/>
    <x v="1"/>
  </r>
  <r>
    <s v="APP491"/>
    <x v="110"/>
    <x v="200"/>
    <x v="0"/>
    <x v="4"/>
    <x v="0"/>
    <x v="0"/>
    <x v="2"/>
    <x v="0"/>
    <x v="2"/>
  </r>
  <r>
    <s v="APP492"/>
    <x v="129"/>
    <x v="201"/>
    <x v="3"/>
    <x v="3"/>
    <x v="0"/>
    <x v="2"/>
    <x v="0"/>
    <x v="0"/>
    <x v="1"/>
  </r>
  <r>
    <s v="APP493"/>
    <x v="130"/>
    <x v="202"/>
    <x v="1"/>
    <x v="2"/>
    <x v="0"/>
    <x v="3"/>
    <x v="2"/>
    <x v="0"/>
    <x v="0"/>
  </r>
  <r>
    <s v="APP498"/>
    <x v="64"/>
    <x v="203"/>
    <x v="4"/>
    <x v="2"/>
    <x v="1"/>
    <x v="0"/>
    <x v="0"/>
    <x v="1"/>
    <x v="1"/>
  </r>
  <r>
    <s v="APP499"/>
    <x v="99"/>
    <x v="204"/>
    <x v="3"/>
    <x v="4"/>
    <x v="0"/>
    <x v="3"/>
    <x v="1"/>
    <x v="0"/>
    <x v="1"/>
  </r>
  <r>
    <s v="APP500"/>
    <x v="4"/>
    <x v="205"/>
    <x v="0"/>
    <x v="0"/>
    <x v="1"/>
    <x v="3"/>
    <x v="0"/>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D94F2E-16B1-49FF-9C09-8CD4E959546C}" name="Applications by Source"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1">
  <location ref="A15:B21" firstHeaderRow="1" firstDataRow="1" firstDataCol="1" rowPageCount="2" colPageCount="1"/>
  <pivotFields count="12">
    <pivotField dataField="1" compact="0" outline="0" showAll="0"/>
    <pivotField compact="0" numFmtId="164" outline="0" showAll="0">
      <items count="132">
        <item x="25"/>
        <item x="24"/>
        <item x="33"/>
        <item x="12"/>
        <item x="115"/>
        <item x="63"/>
        <item x="101"/>
        <item x="126"/>
        <item x="81"/>
        <item x="55"/>
        <item x="104"/>
        <item x="111"/>
        <item x="31"/>
        <item x="3"/>
        <item x="17"/>
        <item x="69"/>
        <item x="13"/>
        <item x="120"/>
        <item x="2"/>
        <item x="80"/>
        <item x="50"/>
        <item x="125"/>
        <item x="98"/>
        <item x="32"/>
        <item x="27"/>
        <item x="21"/>
        <item x="60"/>
        <item x="11"/>
        <item x="127"/>
        <item x="4"/>
        <item x="113"/>
        <item x="49"/>
        <item x="40"/>
        <item x="91"/>
        <item x="118"/>
        <item x="88"/>
        <item x="77"/>
        <item x="121"/>
        <item x="92"/>
        <item x="75"/>
        <item x="16"/>
        <item x="123"/>
        <item x="43"/>
        <item x="37"/>
        <item x="6"/>
        <item x="114"/>
        <item x="116"/>
        <item x="71"/>
        <item x="108"/>
        <item x="93"/>
        <item x="64"/>
        <item x="90"/>
        <item x="23"/>
        <item x="18"/>
        <item x="65"/>
        <item x="29"/>
        <item x="83"/>
        <item x="122"/>
        <item x="119"/>
        <item x="51"/>
        <item x="46"/>
        <item x="95"/>
        <item x="112"/>
        <item x="103"/>
        <item x="36"/>
        <item x="107"/>
        <item x="84"/>
        <item x="38"/>
        <item x="97"/>
        <item x="58"/>
        <item x="54"/>
        <item x="100"/>
        <item x="9"/>
        <item x="76"/>
        <item x="99"/>
        <item x="30"/>
        <item x="74"/>
        <item x="20"/>
        <item x="39"/>
        <item x="106"/>
        <item x="45"/>
        <item x="5"/>
        <item x="129"/>
        <item x="67"/>
        <item x="102"/>
        <item x="53"/>
        <item x="72"/>
        <item x="105"/>
        <item x="14"/>
        <item x="59"/>
        <item x="26"/>
        <item x="82"/>
        <item x="0"/>
        <item x="10"/>
        <item x="109"/>
        <item x="85"/>
        <item x="73"/>
        <item x="56"/>
        <item x="19"/>
        <item x="130"/>
        <item x="41"/>
        <item x="34"/>
        <item x="1"/>
        <item x="128"/>
        <item x="61"/>
        <item x="66"/>
        <item x="68"/>
        <item x="87"/>
        <item x="7"/>
        <item x="70"/>
        <item x="48"/>
        <item x="78"/>
        <item x="94"/>
        <item x="28"/>
        <item x="35"/>
        <item x="52"/>
        <item x="117"/>
        <item x="96"/>
        <item x="79"/>
        <item x="86"/>
        <item x="15"/>
        <item x="22"/>
        <item x="124"/>
        <item x="8"/>
        <item x="110"/>
        <item x="89"/>
        <item x="47"/>
        <item x="57"/>
        <item x="42"/>
        <item x="62"/>
        <item x="44"/>
        <item t="default"/>
      </items>
    </pivotField>
    <pivotField compact="0" outline="0" showAll="0">
      <items count="207">
        <item x="191"/>
        <item x="108"/>
        <item x="79"/>
        <item x="131"/>
        <item x="151"/>
        <item x="190"/>
        <item x="109"/>
        <item x="62"/>
        <item x="50"/>
        <item x="87"/>
        <item x="182"/>
        <item x="203"/>
        <item x="25"/>
        <item x="132"/>
        <item x="30"/>
        <item x="176"/>
        <item x="138"/>
        <item x="48"/>
        <item x="152"/>
        <item x="193"/>
        <item x="200"/>
        <item x="165"/>
        <item x="159"/>
        <item x="137"/>
        <item x="197"/>
        <item x="60"/>
        <item x="101"/>
        <item x="158"/>
        <item x="17"/>
        <item x="77"/>
        <item x="110"/>
        <item x="134"/>
        <item x="99"/>
        <item x="29"/>
        <item x="18"/>
        <item x="126"/>
        <item x="41"/>
        <item x="179"/>
        <item x="124"/>
        <item x="66"/>
        <item x="173"/>
        <item x="136"/>
        <item x="188"/>
        <item x="28"/>
        <item x="86"/>
        <item x="78"/>
        <item x="98"/>
        <item x="57"/>
        <item x="8"/>
        <item x="13"/>
        <item x="14"/>
        <item x="180"/>
        <item x="145"/>
        <item x="31"/>
        <item x="140"/>
        <item x="73"/>
        <item x="100"/>
        <item x="34"/>
        <item x="172"/>
        <item x="27"/>
        <item x="183"/>
        <item x="82"/>
        <item x="69"/>
        <item x="89"/>
        <item x="104"/>
        <item x="59"/>
        <item x="195"/>
        <item x="143"/>
        <item x="175"/>
        <item x="107"/>
        <item x="46"/>
        <item x="163"/>
        <item x="91"/>
        <item x="74"/>
        <item x="168"/>
        <item x="80"/>
        <item x="201"/>
        <item x="90"/>
        <item x="11"/>
        <item x="130"/>
        <item x="153"/>
        <item x="36"/>
        <item x="122"/>
        <item x="0"/>
        <item x="116"/>
        <item x="64"/>
        <item x="45"/>
        <item x="2"/>
        <item x="127"/>
        <item x="120"/>
        <item x="16"/>
        <item x="93"/>
        <item x="156"/>
        <item x="155"/>
        <item x="169"/>
        <item x="146"/>
        <item x="119"/>
        <item x="147"/>
        <item x="125"/>
        <item x="3"/>
        <item x="105"/>
        <item x="204"/>
        <item x="113"/>
        <item x="187"/>
        <item x="139"/>
        <item x="92"/>
        <item x="43"/>
        <item x="161"/>
        <item x="129"/>
        <item x="106"/>
        <item x="26"/>
        <item x="112"/>
        <item x="181"/>
        <item x="185"/>
        <item x="51"/>
        <item x="121"/>
        <item x="84"/>
        <item x="42"/>
        <item x="40"/>
        <item x="96"/>
        <item x="154"/>
        <item x="186"/>
        <item x="72"/>
        <item x="24"/>
        <item x="164"/>
        <item x="111"/>
        <item x="12"/>
        <item x="174"/>
        <item x="68"/>
        <item x="15"/>
        <item x="32"/>
        <item x="81"/>
        <item x="170"/>
        <item x="202"/>
        <item x="38"/>
        <item x="141"/>
        <item x="135"/>
        <item x="54"/>
        <item x="7"/>
        <item x="85"/>
        <item x="20"/>
        <item x="37"/>
        <item x="114"/>
        <item x="157"/>
        <item x="162"/>
        <item x="117"/>
        <item x="63"/>
        <item x="22"/>
        <item x="149"/>
        <item x="23"/>
        <item x="192"/>
        <item x="196"/>
        <item x="133"/>
        <item x="167"/>
        <item x="49"/>
        <item x="94"/>
        <item x="189"/>
        <item x="56"/>
        <item x="1"/>
        <item x="148"/>
        <item x="123"/>
        <item x="67"/>
        <item x="10"/>
        <item x="115"/>
        <item x="39"/>
        <item x="97"/>
        <item x="76"/>
        <item x="55"/>
        <item x="166"/>
        <item x="102"/>
        <item x="198"/>
        <item x="47"/>
        <item x="33"/>
        <item x="52"/>
        <item x="178"/>
        <item x="95"/>
        <item x="160"/>
        <item x="150"/>
        <item x="44"/>
        <item x="144"/>
        <item x="6"/>
        <item x="5"/>
        <item x="88"/>
        <item x="128"/>
        <item x="65"/>
        <item x="9"/>
        <item x="194"/>
        <item x="75"/>
        <item x="70"/>
        <item x="21"/>
        <item x="4"/>
        <item x="71"/>
        <item x="171"/>
        <item x="205"/>
        <item x="199"/>
        <item x="53"/>
        <item x="118"/>
        <item x="35"/>
        <item x="61"/>
        <item x="184"/>
        <item x="58"/>
        <item x="177"/>
        <item x="19"/>
        <item x="103"/>
        <item x="83"/>
        <item x="142"/>
        <item t="default"/>
      </items>
    </pivotField>
    <pivotField axis="axisPage" compact="0" outline="0" showAll="0">
      <items count="6">
        <item x="2"/>
        <item x="1"/>
        <item x="3"/>
        <item x="4"/>
        <item x="0"/>
        <item t="default"/>
      </items>
    </pivotField>
    <pivotField axis="axisRow" compact="0" outline="0" showAll="0">
      <items count="6">
        <item x="4"/>
        <item x="1"/>
        <item x="2"/>
        <item x="0"/>
        <item x="3"/>
        <item t="default"/>
      </items>
    </pivotField>
    <pivotField axis="axisPage" compact="0" outline="0" showAll="0">
      <items count="3">
        <item x="0"/>
        <item x="1"/>
        <item t="default"/>
      </items>
    </pivotField>
    <pivotField compact="0" outline="0" showAll="0">
      <items count="5">
        <item x="2"/>
        <item x="1"/>
        <item x="0"/>
        <item x="3"/>
        <item t="default"/>
      </items>
    </pivotField>
    <pivotField compact="0" outline="0" showAll="0">
      <items count="4">
        <item x="1"/>
        <item x="0"/>
        <item x="2"/>
        <item t="default"/>
      </items>
    </pivotField>
    <pivotField compact="0" outline="0" showAll="0"/>
    <pivotField compact="0" outline="0" showAll="0">
      <items count="4">
        <item x="0"/>
        <item x="1"/>
        <item x="2"/>
        <item t="default"/>
      </items>
    </pivotField>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4"/>
  </rowFields>
  <rowItems count="6">
    <i>
      <x/>
    </i>
    <i>
      <x v="1"/>
    </i>
    <i>
      <x v="2"/>
    </i>
    <i>
      <x v="3"/>
    </i>
    <i>
      <x v="4"/>
    </i>
    <i t="grand">
      <x/>
    </i>
  </rowItems>
  <colItems count="1">
    <i/>
  </colItems>
  <pageFields count="2">
    <pageField fld="3" hier="-1"/>
    <pageField fld="5" hier="-1"/>
  </pageFields>
  <dataFields count="1">
    <dataField name="Count of Application ID" fld="0" subtotal="count" baseField="0" baseItem="0"/>
  </dataFields>
  <chartFormats count="2">
    <chartFormat chart="0"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7478D6-C993-4077-B05C-A5EE1CDE88A8}" name="Stage Reached Analysis"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1">
  <location ref="G25:H30" firstHeaderRow="1" firstDataRow="1" firstDataCol="1"/>
  <pivotFields count="12">
    <pivotField dataField="1" compact="0" outline="0" showAll="0"/>
    <pivotField compact="0" numFmtId="164" outline="0" showAll="0">
      <items count="132">
        <item x="25"/>
        <item x="24"/>
        <item x="33"/>
        <item x="12"/>
        <item x="115"/>
        <item x="63"/>
        <item x="101"/>
        <item x="126"/>
        <item x="81"/>
        <item x="55"/>
        <item x="104"/>
        <item x="111"/>
        <item x="31"/>
        <item x="3"/>
        <item x="17"/>
        <item x="69"/>
        <item x="13"/>
        <item x="120"/>
        <item x="2"/>
        <item x="80"/>
        <item x="50"/>
        <item x="125"/>
        <item x="98"/>
        <item x="32"/>
        <item x="27"/>
        <item x="21"/>
        <item x="60"/>
        <item x="11"/>
        <item x="127"/>
        <item x="4"/>
        <item x="113"/>
        <item x="49"/>
        <item x="40"/>
        <item x="91"/>
        <item x="118"/>
        <item x="88"/>
        <item x="77"/>
        <item x="121"/>
        <item x="92"/>
        <item x="75"/>
        <item x="16"/>
        <item x="123"/>
        <item x="43"/>
        <item x="37"/>
        <item x="6"/>
        <item x="114"/>
        <item x="116"/>
        <item x="71"/>
        <item x="108"/>
        <item x="93"/>
        <item x="64"/>
        <item x="90"/>
        <item x="23"/>
        <item x="18"/>
        <item x="65"/>
        <item x="29"/>
        <item x="83"/>
        <item x="122"/>
        <item x="119"/>
        <item x="51"/>
        <item x="46"/>
        <item x="95"/>
        <item x="112"/>
        <item x="103"/>
        <item x="36"/>
        <item x="107"/>
        <item x="84"/>
        <item x="38"/>
        <item x="97"/>
        <item x="58"/>
        <item x="54"/>
        <item x="100"/>
        <item x="9"/>
        <item x="76"/>
        <item x="99"/>
        <item x="30"/>
        <item x="74"/>
        <item x="20"/>
        <item x="39"/>
        <item x="106"/>
        <item x="45"/>
        <item x="5"/>
        <item x="129"/>
        <item x="67"/>
        <item x="102"/>
        <item x="53"/>
        <item x="72"/>
        <item x="105"/>
        <item x="14"/>
        <item x="59"/>
        <item x="26"/>
        <item x="82"/>
        <item x="0"/>
        <item x="10"/>
        <item x="109"/>
        <item x="85"/>
        <item x="73"/>
        <item x="56"/>
        <item x="19"/>
        <item x="130"/>
        <item x="41"/>
        <item x="34"/>
        <item x="1"/>
        <item x="128"/>
        <item x="61"/>
        <item x="66"/>
        <item x="68"/>
        <item x="87"/>
        <item x="7"/>
        <item x="70"/>
        <item x="48"/>
        <item x="78"/>
        <item x="94"/>
        <item x="28"/>
        <item x="35"/>
        <item x="52"/>
        <item x="117"/>
        <item x="96"/>
        <item x="79"/>
        <item x="86"/>
        <item x="15"/>
        <item x="22"/>
        <item x="124"/>
        <item x="8"/>
        <item x="110"/>
        <item x="89"/>
        <item x="47"/>
        <item x="57"/>
        <item x="42"/>
        <item x="62"/>
        <item x="44"/>
        <item t="default"/>
      </items>
    </pivotField>
    <pivotField compact="0" outline="0" showAll="0">
      <items count="207">
        <item x="191"/>
        <item x="108"/>
        <item x="79"/>
        <item x="131"/>
        <item x="151"/>
        <item x="190"/>
        <item x="109"/>
        <item x="62"/>
        <item x="50"/>
        <item x="87"/>
        <item x="182"/>
        <item x="203"/>
        <item x="25"/>
        <item x="132"/>
        <item x="30"/>
        <item x="176"/>
        <item x="138"/>
        <item x="48"/>
        <item x="152"/>
        <item x="193"/>
        <item x="200"/>
        <item x="165"/>
        <item x="159"/>
        <item x="137"/>
        <item x="197"/>
        <item x="60"/>
        <item x="101"/>
        <item x="158"/>
        <item x="17"/>
        <item x="77"/>
        <item x="110"/>
        <item x="134"/>
        <item x="99"/>
        <item x="29"/>
        <item x="18"/>
        <item x="126"/>
        <item x="41"/>
        <item x="179"/>
        <item x="124"/>
        <item x="66"/>
        <item x="173"/>
        <item x="136"/>
        <item x="188"/>
        <item x="28"/>
        <item x="86"/>
        <item x="78"/>
        <item x="98"/>
        <item x="57"/>
        <item x="8"/>
        <item x="13"/>
        <item x="14"/>
        <item x="180"/>
        <item x="145"/>
        <item x="31"/>
        <item x="140"/>
        <item x="73"/>
        <item x="100"/>
        <item x="34"/>
        <item x="172"/>
        <item x="27"/>
        <item x="183"/>
        <item x="82"/>
        <item x="69"/>
        <item x="89"/>
        <item x="104"/>
        <item x="59"/>
        <item x="195"/>
        <item x="143"/>
        <item x="175"/>
        <item x="107"/>
        <item x="46"/>
        <item x="163"/>
        <item x="91"/>
        <item x="74"/>
        <item x="168"/>
        <item x="80"/>
        <item x="201"/>
        <item x="90"/>
        <item x="11"/>
        <item x="130"/>
        <item x="153"/>
        <item x="36"/>
        <item x="122"/>
        <item x="0"/>
        <item x="116"/>
        <item x="64"/>
        <item x="45"/>
        <item x="2"/>
        <item x="127"/>
        <item x="120"/>
        <item x="16"/>
        <item x="93"/>
        <item x="156"/>
        <item x="155"/>
        <item x="169"/>
        <item x="146"/>
        <item x="119"/>
        <item x="147"/>
        <item x="125"/>
        <item x="3"/>
        <item x="105"/>
        <item x="204"/>
        <item x="113"/>
        <item x="187"/>
        <item x="139"/>
        <item x="92"/>
        <item x="43"/>
        <item x="161"/>
        <item x="129"/>
        <item x="106"/>
        <item x="26"/>
        <item x="112"/>
        <item x="181"/>
        <item x="185"/>
        <item x="51"/>
        <item x="121"/>
        <item x="84"/>
        <item x="42"/>
        <item x="40"/>
        <item x="96"/>
        <item x="154"/>
        <item x="186"/>
        <item x="72"/>
        <item x="24"/>
        <item x="164"/>
        <item x="111"/>
        <item x="12"/>
        <item x="174"/>
        <item x="68"/>
        <item x="15"/>
        <item x="32"/>
        <item x="81"/>
        <item x="170"/>
        <item x="202"/>
        <item x="38"/>
        <item x="141"/>
        <item x="135"/>
        <item x="54"/>
        <item x="7"/>
        <item x="85"/>
        <item x="20"/>
        <item x="37"/>
        <item x="114"/>
        <item x="157"/>
        <item x="162"/>
        <item x="117"/>
        <item x="63"/>
        <item x="22"/>
        <item x="149"/>
        <item x="23"/>
        <item x="192"/>
        <item x="196"/>
        <item x="133"/>
        <item x="167"/>
        <item x="49"/>
        <item x="94"/>
        <item x="189"/>
        <item x="56"/>
        <item x="1"/>
        <item x="148"/>
        <item x="123"/>
        <item x="67"/>
        <item x="10"/>
        <item x="115"/>
        <item x="39"/>
        <item x="97"/>
        <item x="76"/>
        <item x="55"/>
        <item x="166"/>
        <item x="102"/>
        <item x="198"/>
        <item x="47"/>
        <item x="33"/>
        <item x="52"/>
        <item x="178"/>
        <item x="95"/>
        <item x="160"/>
        <item x="150"/>
        <item x="44"/>
        <item x="144"/>
        <item x="6"/>
        <item x="5"/>
        <item x="88"/>
        <item x="128"/>
        <item x="65"/>
        <item x="9"/>
        <item x="194"/>
        <item x="75"/>
        <item x="70"/>
        <item x="21"/>
        <item x="4"/>
        <item x="71"/>
        <item x="171"/>
        <item x="205"/>
        <item x="199"/>
        <item x="53"/>
        <item x="118"/>
        <item x="35"/>
        <item x="61"/>
        <item x="184"/>
        <item x="58"/>
        <item x="177"/>
        <item x="19"/>
        <item x="103"/>
        <item x="83"/>
        <item x="142"/>
        <item t="default"/>
      </items>
    </pivotField>
    <pivotField compact="0" outline="0" showAll="0">
      <items count="6">
        <item x="2"/>
        <item x="1"/>
        <item x="3"/>
        <item x="4"/>
        <item x="0"/>
        <item t="default"/>
      </items>
    </pivotField>
    <pivotField compact="0" outline="0" showAll="0">
      <items count="6">
        <item x="4"/>
        <item x="1"/>
        <item x="2"/>
        <item x="0"/>
        <item x="3"/>
        <item t="default"/>
      </items>
    </pivotField>
    <pivotField compact="0" outline="0" showAll="0">
      <items count="3">
        <item x="0"/>
        <item x="1"/>
        <item t="default"/>
      </items>
    </pivotField>
    <pivotField axis="axisRow" compact="0" outline="0" showAll="0">
      <items count="5">
        <item x="2"/>
        <item x="1"/>
        <item x="0"/>
        <item x="3"/>
        <item t="default"/>
      </items>
    </pivotField>
    <pivotField compact="0" outline="0" showAll="0">
      <items count="4">
        <item x="1"/>
        <item x="0"/>
        <item x="2"/>
        <item t="default"/>
      </items>
    </pivotField>
    <pivotField compact="0" outline="0" showAll="0"/>
    <pivotField compact="0" outline="0" showAll="0">
      <items count="4">
        <item x="0"/>
        <item x="1"/>
        <item x="2"/>
        <item t="default"/>
      </items>
    </pivotField>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6"/>
  </rowFields>
  <rowItems count="5">
    <i>
      <x/>
    </i>
    <i>
      <x v="1"/>
    </i>
    <i>
      <x v="2"/>
    </i>
    <i>
      <x v="3"/>
    </i>
    <i t="grand">
      <x/>
    </i>
  </rowItems>
  <colItems count="1">
    <i/>
  </colItems>
  <dataFields count="1">
    <dataField name="Count of Application ID" fld="0" subtotal="count" baseField="0"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761F17-9035-42D1-A4A7-2132BC7A5C57}" name="Interview Mode Preference"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location ref="G4:H8" firstHeaderRow="1" firstDataRow="1" firstDataCol="1" rowPageCount="2" colPageCount="1"/>
  <pivotFields count="12">
    <pivotField dataField="1" compact="0" outline="0" showAll="0"/>
    <pivotField compact="0" numFmtId="164" outline="0" showAll="0">
      <items count="132">
        <item x="25"/>
        <item x="24"/>
        <item x="33"/>
        <item x="12"/>
        <item x="115"/>
        <item x="63"/>
        <item x="101"/>
        <item x="126"/>
        <item x="81"/>
        <item x="55"/>
        <item x="104"/>
        <item x="111"/>
        <item x="31"/>
        <item x="3"/>
        <item x="17"/>
        <item x="69"/>
        <item x="13"/>
        <item x="120"/>
        <item x="2"/>
        <item x="80"/>
        <item x="50"/>
        <item x="125"/>
        <item x="98"/>
        <item x="32"/>
        <item x="27"/>
        <item x="21"/>
        <item x="60"/>
        <item x="11"/>
        <item x="127"/>
        <item x="4"/>
        <item x="113"/>
        <item x="49"/>
        <item x="40"/>
        <item x="91"/>
        <item x="118"/>
        <item x="88"/>
        <item x="77"/>
        <item x="121"/>
        <item x="92"/>
        <item x="75"/>
        <item x="16"/>
        <item x="123"/>
        <item x="43"/>
        <item x="37"/>
        <item x="6"/>
        <item x="114"/>
        <item x="116"/>
        <item x="71"/>
        <item x="108"/>
        <item x="93"/>
        <item x="64"/>
        <item x="90"/>
        <item x="23"/>
        <item x="18"/>
        <item x="65"/>
        <item x="29"/>
        <item x="83"/>
        <item x="122"/>
        <item x="119"/>
        <item x="51"/>
        <item x="46"/>
        <item x="95"/>
        <item x="112"/>
        <item x="103"/>
        <item x="36"/>
        <item x="107"/>
        <item x="84"/>
        <item x="38"/>
        <item x="97"/>
        <item x="58"/>
        <item x="54"/>
        <item x="100"/>
        <item x="9"/>
        <item x="76"/>
        <item x="99"/>
        <item x="30"/>
        <item x="74"/>
        <item x="20"/>
        <item x="39"/>
        <item x="106"/>
        <item x="45"/>
        <item x="5"/>
        <item x="129"/>
        <item x="67"/>
        <item x="102"/>
        <item x="53"/>
        <item x="72"/>
        <item x="105"/>
        <item x="14"/>
        <item x="59"/>
        <item x="26"/>
        <item x="82"/>
        <item x="0"/>
        <item x="10"/>
        <item x="109"/>
        <item x="85"/>
        <item x="73"/>
        <item x="56"/>
        <item x="19"/>
        <item x="130"/>
        <item x="41"/>
        <item x="34"/>
        <item x="1"/>
        <item x="128"/>
        <item x="61"/>
        <item x="66"/>
        <item x="68"/>
        <item x="87"/>
        <item x="7"/>
        <item x="70"/>
        <item x="48"/>
        <item x="78"/>
        <item x="94"/>
        <item x="28"/>
        <item x="35"/>
        <item x="52"/>
        <item x="117"/>
        <item x="96"/>
        <item x="79"/>
        <item x="86"/>
        <item x="15"/>
        <item x="22"/>
        <item x="124"/>
        <item x="8"/>
        <item x="110"/>
        <item x="89"/>
        <item x="47"/>
        <item x="57"/>
        <item x="42"/>
        <item x="62"/>
        <item x="44"/>
        <item t="default"/>
      </items>
    </pivotField>
    <pivotField compact="0" outline="0" showAll="0">
      <items count="207">
        <item x="191"/>
        <item x="108"/>
        <item x="79"/>
        <item x="131"/>
        <item x="151"/>
        <item x="190"/>
        <item x="109"/>
        <item x="62"/>
        <item x="50"/>
        <item x="87"/>
        <item x="182"/>
        <item x="203"/>
        <item x="25"/>
        <item x="132"/>
        <item x="30"/>
        <item x="176"/>
        <item x="138"/>
        <item x="48"/>
        <item x="152"/>
        <item x="193"/>
        <item x="200"/>
        <item x="165"/>
        <item x="159"/>
        <item x="137"/>
        <item x="197"/>
        <item x="60"/>
        <item x="101"/>
        <item x="158"/>
        <item x="17"/>
        <item x="77"/>
        <item x="110"/>
        <item x="134"/>
        <item x="99"/>
        <item x="29"/>
        <item x="18"/>
        <item x="126"/>
        <item x="41"/>
        <item x="179"/>
        <item x="124"/>
        <item x="66"/>
        <item x="173"/>
        <item x="136"/>
        <item x="188"/>
        <item x="28"/>
        <item x="86"/>
        <item x="78"/>
        <item x="98"/>
        <item x="57"/>
        <item x="8"/>
        <item x="13"/>
        <item x="14"/>
        <item x="180"/>
        <item x="145"/>
        <item x="31"/>
        <item x="140"/>
        <item x="73"/>
        <item x="100"/>
        <item x="34"/>
        <item x="172"/>
        <item x="27"/>
        <item x="183"/>
        <item x="82"/>
        <item x="69"/>
        <item x="89"/>
        <item x="104"/>
        <item x="59"/>
        <item x="195"/>
        <item x="143"/>
        <item x="175"/>
        <item x="107"/>
        <item x="46"/>
        <item x="163"/>
        <item x="91"/>
        <item x="74"/>
        <item x="168"/>
        <item x="80"/>
        <item x="201"/>
        <item x="90"/>
        <item x="11"/>
        <item x="130"/>
        <item x="153"/>
        <item x="36"/>
        <item x="122"/>
        <item x="0"/>
        <item x="116"/>
        <item x="64"/>
        <item x="45"/>
        <item x="2"/>
        <item x="127"/>
        <item x="120"/>
        <item x="16"/>
        <item x="93"/>
        <item x="156"/>
        <item x="155"/>
        <item x="169"/>
        <item x="146"/>
        <item x="119"/>
        <item x="147"/>
        <item x="125"/>
        <item x="3"/>
        <item x="105"/>
        <item x="204"/>
        <item x="113"/>
        <item x="187"/>
        <item x="139"/>
        <item x="92"/>
        <item x="43"/>
        <item x="161"/>
        <item x="129"/>
        <item x="106"/>
        <item x="26"/>
        <item x="112"/>
        <item x="181"/>
        <item x="185"/>
        <item x="51"/>
        <item x="121"/>
        <item x="84"/>
        <item x="42"/>
        <item x="40"/>
        <item x="96"/>
        <item x="154"/>
        <item x="186"/>
        <item x="72"/>
        <item x="24"/>
        <item x="164"/>
        <item x="111"/>
        <item x="12"/>
        <item x="174"/>
        <item x="68"/>
        <item x="15"/>
        <item x="32"/>
        <item x="81"/>
        <item x="170"/>
        <item x="202"/>
        <item x="38"/>
        <item x="141"/>
        <item x="135"/>
        <item x="54"/>
        <item x="7"/>
        <item x="85"/>
        <item x="20"/>
        <item x="37"/>
        <item x="114"/>
        <item x="157"/>
        <item x="162"/>
        <item x="117"/>
        <item x="63"/>
        <item x="22"/>
        <item x="149"/>
        <item x="23"/>
        <item x="192"/>
        <item x="196"/>
        <item x="133"/>
        <item x="167"/>
        <item x="49"/>
        <item x="94"/>
        <item x="189"/>
        <item x="56"/>
        <item x="1"/>
        <item x="148"/>
        <item x="123"/>
        <item x="67"/>
        <item x="10"/>
        <item x="115"/>
        <item x="39"/>
        <item x="97"/>
        <item x="76"/>
        <item x="55"/>
        <item x="166"/>
        <item x="102"/>
        <item x="198"/>
        <item x="47"/>
        <item x="33"/>
        <item x="52"/>
        <item x="178"/>
        <item x="95"/>
        <item x="160"/>
        <item x="150"/>
        <item x="44"/>
        <item x="144"/>
        <item x="6"/>
        <item x="5"/>
        <item x="88"/>
        <item x="128"/>
        <item x="65"/>
        <item x="9"/>
        <item x="194"/>
        <item x="75"/>
        <item x="70"/>
        <item x="21"/>
        <item x="4"/>
        <item x="71"/>
        <item x="171"/>
        <item x="205"/>
        <item x="199"/>
        <item x="53"/>
        <item x="118"/>
        <item x="35"/>
        <item x="61"/>
        <item x="184"/>
        <item x="58"/>
        <item x="177"/>
        <item x="19"/>
        <item x="103"/>
        <item x="83"/>
        <item x="142"/>
        <item t="default"/>
      </items>
    </pivotField>
    <pivotField axis="axisPage" compact="0" outline="0" showAll="0">
      <items count="6">
        <item x="2"/>
        <item x="1"/>
        <item x="3"/>
        <item x="4"/>
        <item x="0"/>
        <item t="default"/>
      </items>
    </pivotField>
    <pivotField compact="0" outline="0" showAll="0">
      <items count="6">
        <item x="4"/>
        <item x="1"/>
        <item x="2"/>
        <item x="0"/>
        <item x="3"/>
        <item t="default"/>
      </items>
    </pivotField>
    <pivotField axis="axisPage" compact="0" outline="0" showAll="0">
      <items count="3">
        <item x="0"/>
        <item x="1"/>
        <item t="default"/>
      </items>
    </pivotField>
    <pivotField compact="0" outline="0" showAll="0">
      <items count="5">
        <item x="2"/>
        <item x="1"/>
        <item x="0"/>
        <item x="3"/>
        <item t="default"/>
      </items>
    </pivotField>
    <pivotField axis="axisRow" compact="0" outline="0" showAll="0">
      <items count="4">
        <item x="1"/>
        <item x="0"/>
        <item x="2"/>
        <item t="default"/>
      </items>
    </pivotField>
    <pivotField compact="0" outline="0" showAll="0"/>
    <pivotField compact="0" outline="0" showAll="0">
      <items count="4">
        <item x="0"/>
        <item x="1"/>
        <item x="2"/>
        <item t="default"/>
      </items>
    </pivotField>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7"/>
  </rowFields>
  <rowItems count="4">
    <i>
      <x/>
    </i>
    <i>
      <x v="1"/>
    </i>
    <i>
      <x v="2"/>
    </i>
    <i t="grand">
      <x/>
    </i>
  </rowItems>
  <colItems count="1">
    <i/>
  </colItems>
  <pageFields count="2">
    <pageField fld="3" hier="-1"/>
    <pageField fld="5" hier="-1"/>
  </pageFields>
  <dataFields count="1">
    <dataField name="Count of Application ID" fld="0" subtotal="count" baseField="0" baseItem="0"/>
  </dataFields>
  <chartFormats count="5">
    <chartFormat chart="0" format="0" series="1">
      <pivotArea type="data" outline="0" fieldPosition="0">
        <references count="1">
          <reference field="4294967294" count="1" selected="0">
            <x v="0"/>
          </reference>
        </references>
      </pivotArea>
    </chartFormat>
    <chartFormat chart="7" format="13" series="1">
      <pivotArea type="data" outline="0" fieldPosition="0">
        <references count="1">
          <reference field="4294967294" count="1" selected="0">
            <x v="0"/>
          </reference>
        </references>
      </pivotArea>
    </chartFormat>
    <chartFormat chart="7" format="14">
      <pivotArea type="data" outline="0" fieldPosition="0">
        <references count="2">
          <reference field="4294967294" count="1" selected="0">
            <x v="0"/>
          </reference>
          <reference field="7" count="1" selected="0">
            <x v="0"/>
          </reference>
        </references>
      </pivotArea>
    </chartFormat>
    <chartFormat chart="7" format="15">
      <pivotArea type="data" outline="0" fieldPosition="0">
        <references count="2">
          <reference field="4294967294" count="1" selected="0">
            <x v="0"/>
          </reference>
          <reference field="7" count="1" selected="0">
            <x v="1"/>
          </reference>
        </references>
      </pivotArea>
    </chartFormat>
    <chartFormat chart="7" format="16">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D6B0CF8-966A-4F7B-A5F6-89AF52713832}" name="Count of Applications by Current Status"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0">
  <location ref="A1:E10" firstHeaderRow="1" firstDataRow="2" firstDataCol="2"/>
  <pivotFields count="12">
    <pivotField dataField="1" compact="0" outline="0" showAll="0"/>
    <pivotField axis="axisRow" compact="0" numFmtId="164" outline="0" showAll="0">
      <items count="132">
        <item x="25"/>
        <item x="24"/>
        <item x="33"/>
        <item x="12"/>
        <item x="115"/>
        <item x="63"/>
        <item x="101"/>
        <item x="126"/>
        <item x="81"/>
        <item x="55"/>
        <item x="104"/>
        <item x="111"/>
        <item x="31"/>
        <item x="3"/>
        <item x="17"/>
        <item x="69"/>
        <item x="13"/>
        <item x="120"/>
        <item x="2"/>
        <item x="80"/>
        <item x="50"/>
        <item x="125"/>
        <item x="98"/>
        <item x="32"/>
        <item x="27"/>
        <item x="21"/>
        <item x="60"/>
        <item x="11"/>
        <item x="127"/>
        <item x="4"/>
        <item x="113"/>
        <item x="49"/>
        <item x="40"/>
        <item x="91"/>
        <item x="118"/>
        <item x="88"/>
        <item x="77"/>
        <item x="121"/>
        <item x="92"/>
        <item x="75"/>
        <item x="16"/>
        <item x="123"/>
        <item x="43"/>
        <item x="37"/>
        <item x="6"/>
        <item x="114"/>
        <item x="116"/>
        <item x="71"/>
        <item x="108"/>
        <item x="93"/>
        <item x="64"/>
        <item x="90"/>
        <item x="23"/>
        <item x="18"/>
        <item x="65"/>
        <item x="29"/>
        <item x="83"/>
        <item x="122"/>
        <item x="119"/>
        <item x="51"/>
        <item x="46"/>
        <item x="95"/>
        <item x="112"/>
        <item x="103"/>
        <item x="36"/>
        <item x="107"/>
        <item x="84"/>
        <item x="38"/>
        <item x="97"/>
        <item x="58"/>
        <item x="54"/>
        <item x="100"/>
        <item x="9"/>
        <item x="76"/>
        <item x="99"/>
        <item x="30"/>
        <item x="74"/>
        <item x="20"/>
        <item x="39"/>
        <item x="106"/>
        <item x="45"/>
        <item x="5"/>
        <item x="129"/>
        <item x="67"/>
        <item x="102"/>
        <item x="53"/>
        <item x="72"/>
        <item x="105"/>
        <item x="14"/>
        <item x="59"/>
        <item x="26"/>
        <item x="82"/>
        <item x="0"/>
        <item x="10"/>
        <item x="109"/>
        <item x="85"/>
        <item x="73"/>
        <item x="56"/>
        <item x="19"/>
        <item x="130"/>
        <item x="41"/>
        <item x="34"/>
        <item x="1"/>
        <item x="128"/>
        <item x="61"/>
        <item x="66"/>
        <item x="68"/>
        <item x="87"/>
        <item x="7"/>
        <item x="70"/>
        <item x="48"/>
        <item x="78"/>
        <item x="94"/>
        <item x="28"/>
        <item x="35"/>
        <item x="52"/>
        <item x="117"/>
        <item x="96"/>
        <item x="79"/>
        <item x="86"/>
        <item x="15"/>
        <item x="22"/>
        <item x="124"/>
        <item x="8"/>
        <item x="110"/>
        <item x="89"/>
        <item x="47"/>
        <item x="57"/>
        <item x="42"/>
        <item x="62"/>
        <item x="44"/>
        <item t="default"/>
      </items>
    </pivotField>
    <pivotField compact="0" outline="0" showAll="0">
      <items count="207">
        <item x="191"/>
        <item x="108"/>
        <item x="79"/>
        <item x="131"/>
        <item x="151"/>
        <item x="190"/>
        <item x="109"/>
        <item x="62"/>
        <item x="50"/>
        <item x="87"/>
        <item x="182"/>
        <item x="203"/>
        <item x="25"/>
        <item x="132"/>
        <item x="30"/>
        <item x="176"/>
        <item x="138"/>
        <item x="48"/>
        <item x="152"/>
        <item x="193"/>
        <item x="200"/>
        <item x="165"/>
        <item x="159"/>
        <item x="137"/>
        <item x="197"/>
        <item x="60"/>
        <item x="101"/>
        <item x="158"/>
        <item x="17"/>
        <item x="77"/>
        <item x="110"/>
        <item x="134"/>
        <item x="99"/>
        <item x="29"/>
        <item x="18"/>
        <item x="126"/>
        <item x="41"/>
        <item x="179"/>
        <item x="124"/>
        <item x="66"/>
        <item x="173"/>
        <item x="136"/>
        <item x="188"/>
        <item x="28"/>
        <item x="86"/>
        <item x="78"/>
        <item x="98"/>
        <item x="57"/>
        <item x="8"/>
        <item x="13"/>
        <item x="14"/>
        <item x="180"/>
        <item x="145"/>
        <item x="31"/>
        <item x="140"/>
        <item x="73"/>
        <item x="100"/>
        <item x="34"/>
        <item x="172"/>
        <item x="27"/>
        <item x="183"/>
        <item x="82"/>
        <item x="69"/>
        <item x="89"/>
        <item x="104"/>
        <item x="59"/>
        <item x="195"/>
        <item x="143"/>
        <item x="175"/>
        <item x="107"/>
        <item x="46"/>
        <item x="163"/>
        <item x="91"/>
        <item x="74"/>
        <item x="168"/>
        <item x="80"/>
        <item x="201"/>
        <item x="90"/>
        <item x="11"/>
        <item x="130"/>
        <item x="153"/>
        <item x="36"/>
        <item x="122"/>
        <item x="0"/>
        <item x="116"/>
        <item x="64"/>
        <item x="45"/>
        <item x="2"/>
        <item x="127"/>
        <item x="120"/>
        <item x="16"/>
        <item x="93"/>
        <item x="156"/>
        <item x="155"/>
        <item x="169"/>
        <item x="146"/>
        <item x="119"/>
        <item x="147"/>
        <item x="125"/>
        <item x="3"/>
        <item x="105"/>
        <item x="204"/>
        <item x="113"/>
        <item x="187"/>
        <item x="139"/>
        <item x="92"/>
        <item x="43"/>
        <item x="161"/>
        <item x="129"/>
        <item x="106"/>
        <item x="26"/>
        <item x="112"/>
        <item x="181"/>
        <item x="185"/>
        <item x="51"/>
        <item x="121"/>
        <item x="84"/>
        <item x="42"/>
        <item x="40"/>
        <item x="96"/>
        <item x="154"/>
        <item x="186"/>
        <item x="72"/>
        <item x="24"/>
        <item x="164"/>
        <item x="111"/>
        <item x="12"/>
        <item x="174"/>
        <item x="68"/>
        <item x="15"/>
        <item x="32"/>
        <item x="81"/>
        <item x="170"/>
        <item x="202"/>
        <item x="38"/>
        <item x="141"/>
        <item x="135"/>
        <item x="54"/>
        <item x="7"/>
        <item x="85"/>
        <item x="20"/>
        <item x="37"/>
        <item x="114"/>
        <item x="157"/>
        <item x="162"/>
        <item x="117"/>
        <item x="63"/>
        <item x="22"/>
        <item x="149"/>
        <item x="23"/>
        <item x="192"/>
        <item x="196"/>
        <item x="133"/>
        <item x="167"/>
        <item x="49"/>
        <item x="94"/>
        <item x="189"/>
        <item x="56"/>
        <item x="1"/>
        <item x="148"/>
        <item x="123"/>
        <item x="67"/>
        <item x="10"/>
        <item x="115"/>
        <item x="39"/>
        <item x="97"/>
        <item x="76"/>
        <item x="55"/>
        <item x="166"/>
        <item x="102"/>
        <item x="198"/>
        <item x="47"/>
        <item x="33"/>
        <item x="52"/>
        <item x="178"/>
        <item x="95"/>
        <item x="160"/>
        <item x="150"/>
        <item x="44"/>
        <item x="144"/>
        <item x="6"/>
        <item x="5"/>
        <item x="88"/>
        <item x="128"/>
        <item x="65"/>
        <item x="9"/>
        <item x="194"/>
        <item x="75"/>
        <item x="70"/>
        <item x="21"/>
        <item x="4"/>
        <item x="71"/>
        <item x="171"/>
        <item x="205"/>
        <item x="199"/>
        <item x="53"/>
        <item x="118"/>
        <item x="35"/>
        <item x="61"/>
        <item x="184"/>
        <item x="58"/>
        <item x="177"/>
        <item x="19"/>
        <item x="103"/>
        <item x="83"/>
        <item x="142"/>
        <item t="default"/>
      </items>
    </pivotField>
    <pivotField compact="0" outline="0" showAll="0">
      <items count="6">
        <item x="2"/>
        <item x="1"/>
        <item x="3"/>
        <item x="4"/>
        <item x="0"/>
        <item t="default"/>
      </items>
    </pivotField>
    <pivotField compact="0" outline="0" showAll="0">
      <items count="6">
        <item x="4"/>
        <item x="1"/>
        <item x="2"/>
        <item x="0"/>
        <item x="3"/>
        <item t="default"/>
      </items>
    </pivotField>
    <pivotField axis="axisCol" compact="0" outline="0" showAll="0">
      <items count="3">
        <item x="0"/>
        <item x="1"/>
        <item t="default"/>
      </items>
    </pivotField>
    <pivotField compact="0" outline="0" showAll="0">
      <items count="5">
        <item x="2"/>
        <item x="1"/>
        <item x="0"/>
        <item x="3"/>
        <item t="default"/>
      </items>
    </pivotField>
    <pivotField compact="0" outline="0" showAll="0">
      <items count="4">
        <item x="1"/>
        <item x="0"/>
        <item x="2"/>
        <item t="default"/>
      </items>
    </pivotField>
    <pivotField compact="0" outline="0" showAll="0"/>
    <pivotField compact="0" outline="0" showAll="0">
      <items count="4">
        <item x="0"/>
        <item x="1"/>
        <item x="2"/>
        <item t="default"/>
      </items>
    </pivotField>
    <pivotField compact="0" outline="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compact="0" outline="0" showAll="0">
      <items count="15">
        <item sd="0" x="0"/>
        <item sd="0" x="1"/>
        <item sd="0" x="2"/>
        <item sd="0" x="3"/>
        <item sd="0" x="4"/>
        <item sd="0" x="5"/>
        <item sd="0" x="6"/>
        <item sd="0" x="7"/>
        <item sd="0" x="8"/>
        <item sd="0" x="9"/>
        <item sd="0" x="10"/>
        <item sd="0" x="11"/>
        <item sd="0" x="12"/>
        <item sd="0" x="13"/>
        <item t="default"/>
      </items>
    </pivotField>
  </pivotFields>
  <rowFields count="2">
    <field x="11"/>
    <field x="1"/>
  </rowFields>
  <rowItems count="8">
    <i>
      <x v="1"/>
    </i>
    <i>
      <x v="2"/>
    </i>
    <i>
      <x v="3"/>
    </i>
    <i>
      <x v="4"/>
    </i>
    <i>
      <x v="5"/>
    </i>
    <i>
      <x v="6"/>
    </i>
    <i>
      <x v="7"/>
    </i>
    <i t="grand">
      <x/>
    </i>
  </rowItems>
  <colFields count="1">
    <field x="5"/>
  </colFields>
  <colItems count="3">
    <i>
      <x/>
    </i>
    <i>
      <x v="1"/>
    </i>
    <i t="grand">
      <x/>
    </i>
  </colItems>
  <dataFields count="1">
    <dataField name="Count of Application ID" fld="0" subtotal="count" baseField="0" baseItem="0"/>
  </dataFields>
  <chartFormats count="6">
    <chartFormat chart="11" format="0" series="1">
      <pivotArea type="data" outline="0" fieldPosition="0">
        <references count="2">
          <reference field="4294967294" count="1" selected="0">
            <x v="0"/>
          </reference>
          <reference field="5" count="1" selected="0">
            <x v="0"/>
          </reference>
        </references>
      </pivotArea>
    </chartFormat>
    <chartFormat chart="11" format="1" series="1">
      <pivotArea type="data" outline="0" fieldPosition="0">
        <references count="2">
          <reference field="4294967294" count="1" selected="0">
            <x v="0"/>
          </reference>
          <reference field="5" count="1" selected="0">
            <x v="1"/>
          </reference>
        </references>
      </pivotArea>
    </chartFormat>
    <chartFormat chart="16" format="4" series="1">
      <pivotArea type="data" outline="0" fieldPosition="0">
        <references count="2">
          <reference field="4294967294" count="1" selected="0">
            <x v="0"/>
          </reference>
          <reference field="5" count="1" selected="0">
            <x v="0"/>
          </reference>
        </references>
      </pivotArea>
    </chartFormat>
    <chartFormat chart="16" format="5" series="1">
      <pivotArea type="data" outline="0" fieldPosition="0">
        <references count="2">
          <reference field="4294967294" count="1" selected="0">
            <x v="0"/>
          </reference>
          <reference field="5" count="1" selected="0">
            <x v="1"/>
          </reference>
        </references>
      </pivotArea>
    </chartFormat>
    <chartFormat chart="19" format="8" series="1">
      <pivotArea type="data" outline="0" fieldPosition="0">
        <references count="2">
          <reference field="4294967294" count="1" selected="0">
            <x v="0"/>
          </reference>
          <reference field="5" count="1" selected="0">
            <x v="0"/>
          </reference>
        </references>
      </pivotArea>
    </chartFormat>
    <chartFormat chart="19" format="9"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AE640F1-950A-486F-8590-0E23CF7B184E}" name="Applications by Age Category"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location ref="G18:H22" firstHeaderRow="1" firstDataRow="1" firstDataCol="1" rowPageCount="2" colPageCount="1"/>
  <pivotFields count="12">
    <pivotField dataField="1" compact="0" outline="0" showAll="0"/>
    <pivotField compact="0" numFmtId="164" outline="0" showAll="0">
      <items count="132">
        <item x="25"/>
        <item x="24"/>
        <item x="33"/>
        <item x="12"/>
        <item x="115"/>
        <item x="63"/>
        <item x="101"/>
        <item x="126"/>
        <item x="81"/>
        <item x="55"/>
        <item x="104"/>
        <item x="111"/>
        <item x="31"/>
        <item x="3"/>
        <item x="17"/>
        <item x="69"/>
        <item x="13"/>
        <item x="120"/>
        <item x="2"/>
        <item x="80"/>
        <item x="50"/>
        <item x="125"/>
        <item x="98"/>
        <item x="32"/>
        <item x="27"/>
        <item x="21"/>
        <item x="60"/>
        <item x="11"/>
        <item x="127"/>
        <item x="4"/>
        <item x="113"/>
        <item x="49"/>
        <item x="40"/>
        <item x="91"/>
        <item x="118"/>
        <item x="88"/>
        <item x="77"/>
        <item x="121"/>
        <item x="92"/>
        <item x="75"/>
        <item x="16"/>
        <item x="123"/>
        <item x="43"/>
        <item x="37"/>
        <item x="6"/>
        <item x="114"/>
        <item x="116"/>
        <item x="71"/>
        <item x="108"/>
        <item x="93"/>
        <item x="64"/>
        <item x="90"/>
        <item x="23"/>
        <item x="18"/>
        <item x="65"/>
        <item x="29"/>
        <item x="83"/>
        <item x="122"/>
        <item x="119"/>
        <item x="51"/>
        <item x="46"/>
        <item x="95"/>
        <item x="112"/>
        <item x="103"/>
        <item x="36"/>
        <item x="107"/>
        <item x="84"/>
        <item x="38"/>
        <item x="97"/>
        <item x="58"/>
        <item x="54"/>
        <item x="100"/>
        <item x="9"/>
        <item x="76"/>
        <item x="99"/>
        <item x="30"/>
        <item x="74"/>
        <item x="20"/>
        <item x="39"/>
        <item x="106"/>
        <item x="45"/>
        <item x="5"/>
        <item x="129"/>
        <item x="67"/>
        <item x="102"/>
        <item x="53"/>
        <item x="72"/>
        <item x="105"/>
        <item x="14"/>
        <item x="59"/>
        <item x="26"/>
        <item x="82"/>
        <item x="0"/>
        <item x="10"/>
        <item x="109"/>
        <item x="85"/>
        <item x="73"/>
        <item x="56"/>
        <item x="19"/>
        <item x="130"/>
        <item x="41"/>
        <item x="34"/>
        <item x="1"/>
        <item x="128"/>
        <item x="61"/>
        <item x="66"/>
        <item x="68"/>
        <item x="87"/>
        <item x="7"/>
        <item x="70"/>
        <item x="48"/>
        <item x="78"/>
        <item x="94"/>
        <item x="28"/>
        <item x="35"/>
        <item x="52"/>
        <item x="117"/>
        <item x="96"/>
        <item x="79"/>
        <item x="86"/>
        <item x="15"/>
        <item x="22"/>
        <item x="124"/>
        <item x="8"/>
        <item x="110"/>
        <item x="89"/>
        <item x="47"/>
        <item x="57"/>
        <item x="42"/>
        <item x="62"/>
        <item x="44"/>
        <item t="default"/>
      </items>
    </pivotField>
    <pivotField compact="0" outline="0" showAll="0">
      <items count="207">
        <item x="191"/>
        <item x="108"/>
        <item x="79"/>
        <item x="131"/>
        <item x="151"/>
        <item x="190"/>
        <item x="109"/>
        <item x="62"/>
        <item x="50"/>
        <item x="87"/>
        <item x="182"/>
        <item x="203"/>
        <item x="25"/>
        <item x="132"/>
        <item x="30"/>
        <item x="176"/>
        <item x="138"/>
        <item x="48"/>
        <item x="152"/>
        <item x="193"/>
        <item x="200"/>
        <item x="165"/>
        <item x="159"/>
        <item x="137"/>
        <item x="197"/>
        <item x="60"/>
        <item x="101"/>
        <item x="158"/>
        <item x="17"/>
        <item x="77"/>
        <item x="110"/>
        <item x="134"/>
        <item x="99"/>
        <item x="29"/>
        <item x="18"/>
        <item x="126"/>
        <item x="41"/>
        <item x="179"/>
        <item x="124"/>
        <item x="66"/>
        <item x="173"/>
        <item x="136"/>
        <item x="188"/>
        <item x="28"/>
        <item x="86"/>
        <item x="78"/>
        <item x="98"/>
        <item x="57"/>
        <item x="8"/>
        <item x="13"/>
        <item x="14"/>
        <item x="180"/>
        <item x="145"/>
        <item x="31"/>
        <item x="140"/>
        <item x="73"/>
        <item x="100"/>
        <item x="34"/>
        <item x="172"/>
        <item x="27"/>
        <item x="183"/>
        <item x="82"/>
        <item x="69"/>
        <item x="89"/>
        <item x="104"/>
        <item x="59"/>
        <item x="195"/>
        <item x="143"/>
        <item x="175"/>
        <item x="107"/>
        <item x="46"/>
        <item x="163"/>
        <item x="91"/>
        <item x="74"/>
        <item x="168"/>
        <item x="80"/>
        <item x="201"/>
        <item x="90"/>
        <item x="11"/>
        <item x="130"/>
        <item x="153"/>
        <item x="36"/>
        <item x="122"/>
        <item x="0"/>
        <item x="116"/>
        <item x="64"/>
        <item x="45"/>
        <item x="2"/>
        <item x="127"/>
        <item x="120"/>
        <item x="16"/>
        <item x="93"/>
        <item x="156"/>
        <item x="155"/>
        <item x="169"/>
        <item x="146"/>
        <item x="119"/>
        <item x="147"/>
        <item x="125"/>
        <item x="3"/>
        <item x="105"/>
        <item x="204"/>
        <item x="113"/>
        <item x="187"/>
        <item x="139"/>
        <item x="92"/>
        <item x="43"/>
        <item x="161"/>
        <item x="129"/>
        <item x="106"/>
        <item x="26"/>
        <item x="112"/>
        <item x="181"/>
        <item x="185"/>
        <item x="51"/>
        <item x="121"/>
        <item x="84"/>
        <item x="42"/>
        <item x="40"/>
        <item x="96"/>
        <item x="154"/>
        <item x="186"/>
        <item x="72"/>
        <item x="24"/>
        <item x="164"/>
        <item x="111"/>
        <item x="12"/>
        <item x="174"/>
        <item x="68"/>
        <item x="15"/>
        <item x="32"/>
        <item x="81"/>
        <item x="170"/>
        <item x="202"/>
        <item x="38"/>
        <item x="141"/>
        <item x="135"/>
        <item x="54"/>
        <item x="7"/>
        <item x="85"/>
        <item x="20"/>
        <item x="37"/>
        <item x="114"/>
        <item x="157"/>
        <item x="162"/>
        <item x="117"/>
        <item x="63"/>
        <item x="22"/>
        <item x="149"/>
        <item x="23"/>
        <item x="192"/>
        <item x="196"/>
        <item x="133"/>
        <item x="167"/>
        <item x="49"/>
        <item x="94"/>
        <item x="189"/>
        <item x="56"/>
        <item x="1"/>
        <item x="148"/>
        <item x="123"/>
        <item x="67"/>
        <item x="10"/>
        <item x="115"/>
        <item x="39"/>
        <item x="97"/>
        <item x="76"/>
        <item x="55"/>
        <item x="166"/>
        <item x="102"/>
        <item x="198"/>
        <item x="47"/>
        <item x="33"/>
        <item x="52"/>
        <item x="178"/>
        <item x="95"/>
        <item x="160"/>
        <item x="150"/>
        <item x="44"/>
        <item x="144"/>
        <item x="6"/>
        <item x="5"/>
        <item x="88"/>
        <item x="128"/>
        <item x="65"/>
        <item x="9"/>
        <item x="194"/>
        <item x="75"/>
        <item x="70"/>
        <item x="21"/>
        <item x="4"/>
        <item x="71"/>
        <item x="171"/>
        <item x="205"/>
        <item x="199"/>
        <item x="53"/>
        <item x="118"/>
        <item x="35"/>
        <item x="61"/>
        <item x="184"/>
        <item x="58"/>
        <item x="177"/>
        <item x="19"/>
        <item x="103"/>
        <item x="83"/>
        <item x="142"/>
        <item t="default"/>
      </items>
    </pivotField>
    <pivotField axis="axisPage" compact="0" outline="0" showAll="0">
      <items count="6">
        <item x="2"/>
        <item x="1"/>
        <item x="3"/>
        <item x="4"/>
        <item x="0"/>
        <item t="default"/>
      </items>
    </pivotField>
    <pivotField compact="0" outline="0" showAll="0">
      <items count="6">
        <item x="4"/>
        <item x="1"/>
        <item x="2"/>
        <item x="0"/>
        <item x="3"/>
        <item t="default"/>
      </items>
    </pivotField>
    <pivotField axis="axisPage" compact="0" outline="0" showAll="0">
      <items count="3">
        <item x="0"/>
        <item x="1"/>
        <item t="default"/>
      </items>
    </pivotField>
    <pivotField compact="0" outline="0" showAll="0">
      <items count="5">
        <item x="2"/>
        <item x="1"/>
        <item x="0"/>
        <item x="3"/>
        <item t="default"/>
      </items>
    </pivotField>
    <pivotField compact="0" outline="0" showAll="0">
      <items count="4">
        <item x="1"/>
        <item x="0"/>
        <item x="2"/>
        <item t="default"/>
      </items>
    </pivotField>
    <pivotField compact="0" outline="0" showAll="0"/>
    <pivotField axis="axisRow" compact="0" outline="0" showAll="0">
      <items count="4">
        <item x="0"/>
        <item x="1"/>
        <item x="2"/>
        <item t="default"/>
      </items>
    </pivotField>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9"/>
  </rowFields>
  <rowItems count="4">
    <i>
      <x/>
    </i>
    <i>
      <x v="1"/>
    </i>
    <i>
      <x v="2"/>
    </i>
    <i t="grand">
      <x/>
    </i>
  </rowItems>
  <colItems count="1">
    <i/>
  </colItems>
  <pageFields count="2">
    <pageField fld="5" hier="-1"/>
    <pageField fld="3" hier="-1"/>
  </pageFields>
  <dataFields count="1">
    <dataField name="Count of Application ID" fld="0" subtotal="count" baseField="0" baseItem="0"/>
  </dataFields>
  <chartFormats count="4">
    <chartFormat chart="0"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03AED1F-4EC9-45A3-9D93-B3A67F21F5AA}" name="Applications by Company Name"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6">
  <location ref="G32:H239" firstHeaderRow="1" firstDataRow="1" firstDataCol="1"/>
  <pivotFields count="12">
    <pivotField dataField="1" compact="0" outline="0" showAll="0"/>
    <pivotField compact="0" numFmtId="164" outline="0" showAll="0">
      <items count="132">
        <item x="25"/>
        <item x="24"/>
        <item x="33"/>
        <item x="12"/>
        <item x="115"/>
        <item x="63"/>
        <item x="101"/>
        <item x="126"/>
        <item x="81"/>
        <item x="55"/>
        <item x="104"/>
        <item x="111"/>
        <item x="31"/>
        <item x="3"/>
        <item x="17"/>
        <item x="69"/>
        <item x="13"/>
        <item x="120"/>
        <item x="2"/>
        <item x="80"/>
        <item x="50"/>
        <item x="125"/>
        <item x="98"/>
        <item x="32"/>
        <item x="27"/>
        <item x="21"/>
        <item x="60"/>
        <item x="11"/>
        <item x="127"/>
        <item x="4"/>
        <item x="113"/>
        <item x="49"/>
        <item x="40"/>
        <item x="91"/>
        <item x="118"/>
        <item x="88"/>
        <item x="77"/>
        <item x="121"/>
        <item x="92"/>
        <item x="75"/>
        <item x="16"/>
        <item x="123"/>
        <item x="43"/>
        <item x="37"/>
        <item x="6"/>
        <item x="114"/>
        <item x="116"/>
        <item x="71"/>
        <item x="108"/>
        <item x="93"/>
        <item x="64"/>
        <item x="90"/>
        <item x="23"/>
        <item x="18"/>
        <item x="65"/>
        <item x="29"/>
        <item x="83"/>
        <item x="122"/>
        <item x="119"/>
        <item x="51"/>
        <item x="46"/>
        <item x="95"/>
        <item x="112"/>
        <item x="103"/>
        <item x="36"/>
        <item x="107"/>
        <item x="84"/>
        <item x="38"/>
        <item x="97"/>
        <item x="58"/>
        <item x="54"/>
        <item x="100"/>
        <item x="9"/>
        <item x="76"/>
        <item x="99"/>
        <item x="30"/>
        <item x="74"/>
        <item x="20"/>
        <item x="39"/>
        <item x="106"/>
        <item x="45"/>
        <item x="5"/>
        <item x="129"/>
        <item x="67"/>
        <item x="102"/>
        <item x="53"/>
        <item x="72"/>
        <item x="105"/>
        <item x="14"/>
        <item x="59"/>
        <item x="26"/>
        <item x="82"/>
        <item x="0"/>
        <item x="10"/>
        <item x="109"/>
        <item x="85"/>
        <item x="73"/>
        <item x="56"/>
        <item x="19"/>
        <item x="130"/>
        <item x="41"/>
        <item x="34"/>
        <item x="1"/>
        <item x="128"/>
        <item x="61"/>
        <item x="66"/>
        <item x="68"/>
        <item x="87"/>
        <item x="7"/>
        <item x="70"/>
        <item x="48"/>
        <item x="78"/>
        <item x="94"/>
        <item x="28"/>
        <item x="35"/>
        <item x="52"/>
        <item x="117"/>
        <item x="96"/>
        <item x="79"/>
        <item x="86"/>
        <item x="15"/>
        <item x="22"/>
        <item x="124"/>
        <item x="8"/>
        <item x="110"/>
        <item x="89"/>
        <item x="47"/>
        <item x="57"/>
        <item x="42"/>
        <item x="62"/>
        <item x="44"/>
        <item t="default"/>
      </items>
    </pivotField>
    <pivotField axis="axisRow" compact="0" outline="0" showAll="0">
      <items count="207">
        <item x="191"/>
        <item x="108"/>
        <item x="79"/>
        <item x="131"/>
        <item x="151"/>
        <item x="190"/>
        <item x="109"/>
        <item x="62"/>
        <item x="50"/>
        <item x="87"/>
        <item x="182"/>
        <item x="203"/>
        <item x="25"/>
        <item x="132"/>
        <item x="30"/>
        <item x="176"/>
        <item x="138"/>
        <item x="48"/>
        <item x="152"/>
        <item x="193"/>
        <item x="200"/>
        <item x="165"/>
        <item x="159"/>
        <item x="137"/>
        <item x="197"/>
        <item x="60"/>
        <item x="101"/>
        <item x="158"/>
        <item x="17"/>
        <item x="77"/>
        <item x="110"/>
        <item x="134"/>
        <item x="99"/>
        <item x="29"/>
        <item x="18"/>
        <item x="126"/>
        <item x="41"/>
        <item x="179"/>
        <item x="124"/>
        <item x="66"/>
        <item x="173"/>
        <item x="136"/>
        <item x="188"/>
        <item x="28"/>
        <item x="86"/>
        <item x="78"/>
        <item x="98"/>
        <item x="57"/>
        <item x="8"/>
        <item x="13"/>
        <item x="14"/>
        <item x="180"/>
        <item x="145"/>
        <item x="31"/>
        <item x="140"/>
        <item x="73"/>
        <item x="100"/>
        <item x="34"/>
        <item x="172"/>
        <item x="27"/>
        <item x="183"/>
        <item x="82"/>
        <item x="69"/>
        <item x="89"/>
        <item x="104"/>
        <item x="59"/>
        <item x="195"/>
        <item x="143"/>
        <item x="175"/>
        <item x="107"/>
        <item x="46"/>
        <item x="163"/>
        <item x="91"/>
        <item x="74"/>
        <item x="168"/>
        <item x="80"/>
        <item x="201"/>
        <item x="90"/>
        <item x="11"/>
        <item x="130"/>
        <item x="153"/>
        <item x="36"/>
        <item x="122"/>
        <item x="0"/>
        <item x="116"/>
        <item x="64"/>
        <item x="45"/>
        <item x="2"/>
        <item x="127"/>
        <item x="120"/>
        <item x="16"/>
        <item x="93"/>
        <item x="156"/>
        <item x="155"/>
        <item x="169"/>
        <item x="146"/>
        <item x="119"/>
        <item x="147"/>
        <item x="125"/>
        <item x="3"/>
        <item x="105"/>
        <item x="204"/>
        <item x="113"/>
        <item x="187"/>
        <item x="139"/>
        <item x="92"/>
        <item x="43"/>
        <item x="161"/>
        <item x="129"/>
        <item x="106"/>
        <item x="26"/>
        <item x="112"/>
        <item x="181"/>
        <item x="185"/>
        <item x="51"/>
        <item x="121"/>
        <item x="84"/>
        <item x="42"/>
        <item x="40"/>
        <item x="96"/>
        <item x="154"/>
        <item x="186"/>
        <item x="72"/>
        <item x="24"/>
        <item x="164"/>
        <item x="111"/>
        <item x="12"/>
        <item x="174"/>
        <item x="68"/>
        <item x="15"/>
        <item x="32"/>
        <item x="81"/>
        <item x="170"/>
        <item x="202"/>
        <item x="38"/>
        <item x="141"/>
        <item x="135"/>
        <item x="54"/>
        <item x="7"/>
        <item x="85"/>
        <item x="20"/>
        <item x="37"/>
        <item x="114"/>
        <item x="157"/>
        <item x="162"/>
        <item x="117"/>
        <item x="63"/>
        <item x="22"/>
        <item x="149"/>
        <item x="23"/>
        <item x="192"/>
        <item x="196"/>
        <item x="133"/>
        <item x="167"/>
        <item x="49"/>
        <item x="94"/>
        <item x="189"/>
        <item x="56"/>
        <item x="1"/>
        <item x="148"/>
        <item x="123"/>
        <item x="67"/>
        <item x="10"/>
        <item x="115"/>
        <item x="39"/>
        <item x="97"/>
        <item x="76"/>
        <item x="55"/>
        <item x="166"/>
        <item x="102"/>
        <item x="198"/>
        <item x="47"/>
        <item x="33"/>
        <item x="52"/>
        <item x="178"/>
        <item x="95"/>
        <item x="160"/>
        <item x="150"/>
        <item x="44"/>
        <item x="144"/>
        <item x="6"/>
        <item x="5"/>
        <item x="88"/>
        <item x="128"/>
        <item x="65"/>
        <item x="9"/>
        <item x="194"/>
        <item x="75"/>
        <item x="70"/>
        <item x="21"/>
        <item x="4"/>
        <item x="71"/>
        <item x="171"/>
        <item x="205"/>
        <item x="199"/>
        <item x="53"/>
        <item x="118"/>
        <item x="35"/>
        <item x="61"/>
        <item x="184"/>
        <item x="58"/>
        <item x="177"/>
        <item x="19"/>
        <item x="103"/>
        <item x="83"/>
        <item x="142"/>
        <item t="default"/>
      </items>
    </pivotField>
    <pivotField compact="0" outline="0" showAll="0">
      <items count="6">
        <item x="2"/>
        <item x="1"/>
        <item x="3"/>
        <item x="4"/>
        <item x="0"/>
        <item t="default"/>
      </items>
    </pivotField>
    <pivotField compact="0" outline="0" showAll="0">
      <items count="6">
        <item x="4"/>
        <item x="1"/>
        <item x="2"/>
        <item x="0"/>
        <item x="3"/>
        <item t="default"/>
      </items>
    </pivotField>
    <pivotField compact="0" outline="0" showAll="0">
      <items count="3">
        <item x="0"/>
        <item x="1"/>
        <item t="default"/>
      </items>
    </pivotField>
    <pivotField compact="0" outline="0" showAll="0">
      <items count="5">
        <item x="2"/>
        <item x="1"/>
        <item x="0"/>
        <item x="3"/>
        <item t="default"/>
      </items>
    </pivotField>
    <pivotField compact="0" outline="0" showAll="0">
      <items count="4">
        <item x="1"/>
        <item x="0"/>
        <item x="2"/>
        <item t="default"/>
      </items>
    </pivotField>
    <pivotField compact="0" outline="0" showAll="0"/>
    <pivotField compact="0" outline="0" showAll="0">
      <items count="4">
        <item x="0"/>
        <item x="1"/>
        <item x="2"/>
        <item t="default"/>
      </items>
    </pivotField>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2"/>
  </rowFields>
  <rowItems count="20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t="grand">
      <x/>
    </i>
  </rowItems>
  <colItems count="1">
    <i/>
  </colItems>
  <dataFields count="1">
    <dataField name="Count of Application ID" fld="0" subtotal="count" baseField="0" baseItem="0"/>
  </dataFields>
  <chartFormats count="5">
    <chartFormat chart="8"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6269172-8754-4263-8950-2799CA201E9C}" name="Offers By Role"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location ref="A29:B35" firstHeaderRow="1" firstDataRow="1" firstDataCol="1" rowPageCount="2" colPageCount="1"/>
  <pivotFields count="12">
    <pivotField compact="0" outline="0" showAll="0"/>
    <pivotField compact="0" numFmtId="164" outline="0" showAll="0">
      <items count="132">
        <item x="25"/>
        <item x="24"/>
        <item x="33"/>
        <item x="12"/>
        <item x="115"/>
        <item x="63"/>
        <item x="101"/>
        <item x="126"/>
        <item x="81"/>
        <item x="55"/>
        <item x="104"/>
        <item x="111"/>
        <item x="31"/>
        <item x="3"/>
        <item x="17"/>
        <item x="69"/>
        <item x="13"/>
        <item x="120"/>
        <item x="2"/>
        <item x="80"/>
        <item x="50"/>
        <item x="125"/>
        <item x="98"/>
        <item x="32"/>
        <item x="27"/>
        <item x="21"/>
        <item x="60"/>
        <item x="11"/>
        <item x="127"/>
        <item x="4"/>
        <item x="113"/>
        <item x="49"/>
        <item x="40"/>
        <item x="91"/>
        <item x="118"/>
        <item x="88"/>
        <item x="77"/>
        <item x="121"/>
        <item x="92"/>
        <item x="75"/>
        <item x="16"/>
        <item x="123"/>
        <item x="43"/>
        <item x="37"/>
        <item x="6"/>
        <item x="114"/>
        <item x="116"/>
        <item x="71"/>
        <item x="108"/>
        <item x="93"/>
        <item x="64"/>
        <item x="90"/>
        <item x="23"/>
        <item x="18"/>
        <item x="65"/>
        <item x="29"/>
        <item x="83"/>
        <item x="122"/>
        <item x="119"/>
        <item x="51"/>
        <item x="46"/>
        <item x="95"/>
        <item x="112"/>
        <item x="103"/>
        <item x="36"/>
        <item x="107"/>
        <item x="84"/>
        <item x="38"/>
        <item x="97"/>
        <item x="58"/>
        <item x="54"/>
        <item x="100"/>
        <item x="9"/>
        <item x="76"/>
        <item x="99"/>
        <item x="30"/>
        <item x="74"/>
        <item x="20"/>
        <item x="39"/>
        <item x="106"/>
        <item x="45"/>
        <item x="5"/>
        <item x="129"/>
        <item x="67"/>
        <item x="102"/>
        <item x="53"/>
        <item x="72"/>
        <item x="105"/>
        <item x="14"/>
        <item x="59"/>
        <item x="26"/>
        <item x="82"/>
        <item x="0"/>
        <item x="10"/>
        <item x="109"/>
        <item x="85"/>
        <item x="73"/>
        <item x="56"/>
        <item x="19"/>
        <item x="130"/>
        <item x="41"/>
        <item x="34"/>
        <item x="1"/>
        <item x="128"/>
        <item x="61"/>
        <item x="66"/>
        <item x="68"/>
        <item x="87"/>
        <item x="7"/>
        <item x="70"/>
        <item x="48"/>
        <item x="78"/>
        <item x="94"/>
        <item x="28"/>
        <item x="35"/>
        <item x="52"/>
        <item x="117"/>
        <item x="96"/>
        <item x="79"/>
        <item x="86"/>
        <item x="15"/>
        <item x="22"/>
        <item x="124"/>
        <item x="8"/>
        <item x="110"/>
        <item x="89"/>
        <item x="47"/>
        <item x="57"/>
        <item x="42"/>
        <item x="62"/>
        <item x="44"/>
        <item t="default"/>
      </items>
    </pivotField>
    <pivotField compact="0" outline="0" showAll="0">
      <items count="207">
        <item x="191"/>
        <item x="108"/>
        <item x="79"/>
        <item x="131"/>
        <item x="151"/>
        <item x="190"/>
        <item x="109"/>
        <item x="62"/>
        <item x="50"/>
        <item x="87"/>
        <item x="182"/>
        <item x="203"/>
        <item x="25"/>
        <item x="132"/>
        <item x="30"/>
        <item x="176"/>
        <item x="138"/>
        <item x="48"/>
        <item x="152"/>
        <item x="193"/>
        <item x="200"/>
        <item x="165"/>
        <item x="159"/>
        <item x="137"/>
        <item x="197"/>
        <item x="60"/>
        <item x="101"/>
        <item x="158"/>
        <item x="17"/>
        <item x="77"/>
        <item x="110"/>
        <item x="134"/>
        <item x="99"/>
        <item x="29"/>
        <item x="18"/>
        <item x="126"/>
        <item x="41"/>
        <item x="179"/>
        <item x="124"/>
        <item x="66"/>
        <item x="173"/>
        <item x="136"/>
        <item x="188"/>
        <item x="28"/>
        <item x="86"/>
        <item x="78"/>
        <item x="98"/>
        <item x="57"/>
        <item x="8"/>
        <item x="13"/>
        <item x="14"/>
        <item x="180"/>
        <item x="145"/>
        <item x="31"/>
        <item x="140"/>
        <item x="73"/>
        <item x="100"/>
        <item x="34"/>
        <item x="172"/>
        <item x="27"/>
        <item x="183"/>
        <item x="82"/>
        <item x="69"/>
        <item x="89"/>
        <item x="104"/>
        <item x="59"/>
        <item x="195"/>
        <item x="143"/>
        <item x="175"/>
        <item x="107"/>
        <item x="46"/>
        <item x="163"/>
        <item x="91"/>
        <item x="74"/>
        <item x="168"/>
        <item x="80"/>
        <item x="201"/>
        <item x="90"/>
        <item x="11"/>
        <item x="130"/>
        <item x="153"/>
        <item x="36"/>
        <item x="122"/>
        <item x="0"/>
        <item x="116"/>
        <item x="64"/>
        <item x="45"/>
        <item x="2"/>
        <item x="127"/>
        <item x="120"/>
        <item x="16"/>
        <item x="93"/>
        <item x="156"/>
        <item x="155"/>
        <item x="169"/>
        <item x="146"/>
        <item x="119"/>
        <item x="147"/>
        <item x="125"/>
        <item x="3"/>
        <item x="105"/>
        <item x="204"/>
        <item x="113"/>
        <item x="187"/>
        <item x="139"/>
        <item x="92"/>
        <item x="43"/>
        <item x="161"/>
        <item x="129"/>
        <item x="106"/>
        <item x="26"/>
        <item x="112"/>
        <item x="181"/>
        <item x="185"/>
        <item x="51"/>
        <item x="121"/>
        <item x="84"/>
        <item x="42"/>
        <item x="40"/>
        <item x="96"/>
        <item x="154"/>
        <item x="186"/>
        <item x="72"/>
        <item x="24"/>
        <item x="164"/>
        <item x="111"/>
        <item x="12"/>
        <item x="174"/>
        <item x="68"/>
        <item x="15"/>
        <item x="32"/>
        <item x="81"/>
        <item x="170"/>
        <item x="202"/>
        <item x="38"/>
        <item x="141"/>
        <item x="135"/>
        <item x="54"/>
        <item x="7"/>
        <item x="85"/>
        <item x="20"/>
        <item x="37"/>
        <item x="114"/>
        <item x="157"/>
        <item x="162"/>
        <item x="117"/>
        <item x="63"/>
        <item x="22"/>
        <item x="149"/>
        <item x="23"/>
        <item x="192"/>
        <item x="196"/>
        <item x="133"/>
        <item x="167"/>
        <item x="49"/>
        <item x="94"/>
        <item x="189"/>
        <item x="56"/>
        <item x="1"/>
        <item x="148"/>
        <item x="123"/>
        <item x="67"/>
        <item x="10"/>
        <item x="115"/>
        <item x="39"/>
        <item x="97"/>
        <item x="76"/>
        <item x="55"/>
        <item x="166"/>
        <item x="102"/>
        <item x="198"/>
        <item x="47"/>
        <item x="33"/>
        <item x="52"/>
        <item x="178"/>
        <item x="95"/>
        <item x="160"/>
        <item x="150"/>
        <item x="44"/>
        <item x="144"/>
        <item x="6"/>
        <item x="5"/>
        <item x="88"/>
        <item x="128"/>
        <item x="65"/>
        <item x="9"/>
        <item x="194"/>
        <item x="75"/>
        <item x="70"/>
        <item x="21"/>
        <item x="4"/>
        <item x="71"/>
        <item x="171"/>
        <item x="205"/>
        <item x="199"/>
        <item x="53"/>
        <item x="118"/>
        <item x="35"/>
        <item x="61"/>
        <item x="184"/>
        <item x="58"/>
        <item x="177"/>
        <item x="19"/>
        <item x="103"/>
        <item x="83"/>
        <item x="142"/>
        <item t="default"/>
      </items>
    </pivotField>
    <pivotField axis="axisRow" compact="0" outline="0" showAll="0">
      <items count="6">
        <item x="2"/>
        <item x="1"/>
        <item x="3"/>
        <item x="4"/>
        <item x="0"/>
        <item t="default"/>
      </items>
    </pivotField>
    <pivotField axis="axisPage" compact="0" outline="0" showAll="0">
      <items count="6">
        <item x="4"/>
        <item x="1"/>
        <item x="2"/>
        <item x="0"/>
        <item x="3"/>
        <item t="default"/>
      </items>
    </pivotField>
    <pivotField compact="0" outline="0" showAll="0">
      <items count="3">
        <item x="0"/>
        <item x="1"/>
        <item t="default"/>
      </items>
    </pivotField>
    <pivotField compact="0" outline="0" showAll="0">
      <items count="5">
        <item x="2"/>
        <item x="1"/>
        <item x="0"/>
        <item x="3"/>
        <item t="default"/>
      </items>
    </pivotField>
    <pivotField axis="axisPage" compact="0" outline="0" showAll="0">
      <items count="4">
        <item x="1"/>
        <item x="0"/>
        <item x="2"/>
        <item t="default"/>
      </items>
    </pivotField>
    <pivotField dataField="1" compact="0" outline="0" showAll="0"/>
    <pivotField compact="0" outline="0" showAll="0">
      <items count="4">
        <item x="0"/>
        <item x="1"/>
        <item x="2"/>
        <item t="default"/>
      </items>
    </pivotField>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3"/>
  </rowFields>
  <rowItems count="6">
    <i>
      <x/>
    </i>
    <i>
      <x v="1"/>
    </i>
    <i>
      <x v="2"/>
    </i>
    <i>
      <x v="3"/>
    </i>
    <i>
      <x v="4"/>
    </i>
    <i t="grand">
      <x/>
    </i>
  </rowItems>
  <colItems count="1">
    <i/>
  </colItems>
  <pageFields count="2">
    <pageField fld="4" hier="-1"/>
    <pageField fld="7" hier="-1"/>
  </pageFields>
  <dataFields count="1">
    <dataField name="Count of Offer Received" fld="8" subtotal="count" baseField="0" baseItem="0"/>
  </dataFields>
  <chartFormats count="2">
    <chartFormat chart="0"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Role" xr10:uid="{F38D861F-0A11-4C79-9710-1FDA6DA4A5D9}" sourceName="Job Role">
  <pivotTables>
    <pivotTable tabId="2" name="Applications by Age Category"/>
    <pivotTable tabId="2" name="Applications by Source"/>
    <pivotTable tabId="2" name="Interview Mode Preference"/>
    <pivotTable tabId="2" name="Offers By Role"/>
    <pivotTable tabId="2" name="Count of Applications by Current Status"/>
    <pivotTable tabId="2" name="Stage Reached Analysis"/>
    <pivotTable tabId="2" name="Applications by Company Name"/>
  </pivotTables>
  <data>
    <tabular pivotCacheId="1018117961">
      <items count="5">
        <i x="2" s="1"/>
        <i x="1" s="1"/>
        <i x="3"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pplication_Source" xr10:uid="{BED871CA-589C-4423-80C5-F800E7312B71}" sourceName="Application Source">
  <pivotTables>
    <pivotTable tabId="2" name="Applications by Age Category"/>
    <pivotTable tabId="2" name="Applications by Source"/>
    <pivotTable tabId="2" name="Interview Mode Preference"/>
    <pivotTable tabId="2" name="Offers By Role"/>
    <pivotTable tabId="2" name="Count of Applications by Current Status"/>
    <pivotTable tabId="2" name="Stage Reached Analysis"/>
    <pivotTable tabId="2" name="Applications by Company Name"/>
  </pivotTables>
  <data>
    <tabular pivotCacheId="1018117961">
      <items count="5">
        <i x="4" s="1"/>
        <i x="1" s="1"/>
        <i x="2"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rrent_Status" xr10:uid="{1B52816A-1C2A-4849-A58E-DD8A6D370030}" sourceName="Current Status">
  <pivotTables>
    <pivotTable tabId="2" name="Applications by Age Category"/>
    <pivotTable tabId="2" name="Applications by Source"/>
    <pivotTable tabId="2" name="Interview Mode Preference"/>
    <pivotTable tabId="2" name="Offers By Role"/>
    <pivotTable tabId="2" name="Count of Applications by Current Status"/>
    <pivotTable tabId="2" name="Stage Reached Analysis"/>
    <pivotTable tabId="2" name="Applications by Company Name"/>
  </pivotTables>
  <data>
    <tabular pivotCacheId="1018117961">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pplication_Age_Category" xr10:uid="{17596391-8631-4AF0-B3A4-87468AC1C182}" sourceName="Application Age Category">
  <pivotTables>
    <pivotTable tabId="2" name="Applications by Age Category"/>
    <pivotTable tabId="2" name="Applications by Source"/>
    <pivotTable tabId="2" name="Interview Mode Preference"/>
    <pivotTable tabId="2" name="Offers By Role"/>
    <pivotTable tabId="2" name="Count of Applications by Current Status"/>
    <pivotTable tabId="2" name="Stage Reached Analysis"/>
    <pivotTable tabId="2" name="Applications by Company Name"/>
  </pivotTables>
  <data>
    <tabular pivotCacheId="1018117961">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_of_Interview" xr10:uid="{83698645-B0C3-4C75-BDF8-E3FD72B5E019}" sourceName="Mode of Interview">
  <pivotTables>
    <pivotTable tabId="2" name="Interview Mode Preference"/>
    <pivotTable tabId="2" name="Applications by Age Category"/>
    <pivotTable tabId="2" name="Applications by Source"/>
    <pivotTable tabId="2" name="Offers By Role"/>
    <pivotTable tabId="2" name="Count of Applications by Current Status"/>
    <pivotTable tabId="2" name="Stage Reached Analysis"/>
    <pivotTable tabId="2" name="Applications by Company Name"/>
  </pivotTables>
  <data>
    <tabular pivotCacheId="1018117961">
      <items count="3">
        <i x="1" s="1"/>
        <i x="0"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ge_Reached" xr10:uid="{06F931D1-EBDC-46E8-8DA9-1320CD2AFE14}" sourceName="Stage Reached">
  <pivotTables>
    <pivotTable tabId="2" name="Applications by Age Category"/>
    <pivotTable tabId="2" name="Applications by Source"/>
    <pivotTable tabId="2" name="Interview Mode Preference"/>
    <pivotTable tabId="2" name="Offers By Role"/>
    <pivotTable tabId="2" name="Count of Applications by Current Status"/>
    <pivotTable tabId="2" name="Stage Reached Analysis"/>
    <pivotTable tabId="2" name="Applications by Company Name"/>
  </pivotTables>
  <data>
    <tabular pivotCacheId="1018117961">
      <items count="4">
        <i x="2" s="1"/>
        <i x="1" s="1"/>
        <i x="0" s="1"/>
        <i x="3"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_Name" xr10:uid="{7F94F252-CF2C-4166-ACE2-535D71F2E5B5}" sourceName="Company Name">
  <pivotTables>
    <pivotTable tabId="2" name="Applications by Company Name"/>
    <pivotTable tabId="2" name="Applications by Age Category"/>
    <pivotTable tabId="2" name="Applications by Source"/>
    <pivotTable tabId="2" name="Interview Mode Preference"/>
    <pivotTable tabId="2" name="Offers By Role"/>
    <pivotTable tabId="2" name="Count of Applications by Current Status"/>
    <pivotTable tabId="2" name="Stage Reached Analysis"/>
  </pivotTables>
  <data>
    <tabular pivotCacheId="1018117961">
      <items count="206">
        <i x="191" s="1"/>
        <i x="108" s="1"/>
        <i x="79" s="1"/>
        <i x="131" s="1"/>
        <i x="151" s="1"/>
        <i x="190" s="1"/>
        <i x="109" s="1"/>
        <i x="62" s="1"/>
        <i x="50" s="1"/>
        <i x="87" s="1"/>
        <i x="182" s="1"/>
        <i x="203" s="1"/>
        <i x="25" s="1"/>
        <i x="132" s="1"/>
        <i x="30" s="1"/>
        <i x="176" s="1"/>
        <i x="138" s="1"/>
        <i x="48" s="1"/>
        <i x="152" s="1"/>
        <i x="193" s="1"/>
        <i x="200" s="1"/>
        <i x="165" s="1"/>
        <i x="159" s="1"/>
        <i x="137" s="1"/>
        <i x="197" s="1"/>
        <i x="60" s="1"/>
        <i x="101" s="1"/>
        <i x="158" s="1"/>
        <i x="17" s="1"/>
        <i x="77" s="1"/>
        <i x="110" s="1"/>
        <i x="134" s="1"/>
        <i x="99" s="1"/>
        <i x="29" s="1"/>
        <i x="18" s="1"/>
        <i x="126" s="1"/>
        <i x="41" s="1"/>
        <i x="179" s="1"/>
        <i x="124" s="1"/>
        <i x="66" s="1"/>
        <i x="173" s="1"/>
        <i x="136" s="1"/>
        <i x="188" s="1"/>
        <i x="28" s="1"/>
        <i x="86" s="1"/>
        <i x="78" s="1"/>
        <i x="98" s="1"/>
        <i x="57" s="1"/>
        <i x="8" s="1"/>
        <i x="13" s="1"/>
        <i x="14" s="1"/>
        <i x="180" s="1"/>
        <i x="145" s="1"/>
        <i x="31" s="1"/>
        <i x="140" s="1"/>
        <i x="73" s="1"/>
        <i x="100" s="1"/>
        <i x="34" s="1"/>
        <i x="172" s="1"/>
        <i x="27" s="1"/>
        <i x="183" s="1"/>
        <i x="82" s="1"/>
        <i x="69" s="1"/>
        <i x="89" s="1"/>
        <i x="104" s="1"/>
        <i x="59" s="1"/>
        <i x="195" s="1"/>
        <i x="143" s="1"/>
        <i x="175" s="1"/>
        <i x="107" s="1"/>
        <i x="46" s="1"/>
        <i x="163" s="1"/>
        <i x="91" s="1"/>
        <i x="74" s="1"/>
        <i x="168" s="1"/>
        <i x="80" s="1"/>
        <i x="201" s="1"/>
        <i x="90" s="1"/>
        <i x="11" s="1"/>
        <i x="130" s="1"/>
        <i x="153" s="1"/>
        <i x="36" s="1"/>
        <i x="122" s="1"/>
        <i x="0" s="1"/>
        <i x="116" s="1"/>
        <i x="64" s="1"/>
        <i x="45" s="1"/>
        <i x="2" s="1"/>
        <i x="127" s="1"/>
        <i x="120" s="1"/>
        <i x="16" s="1"/>
        <i x="93" s="1"/>
        <i x="156" s="1"/>
        <i x="155" s="1"/>
        <i x="169" s="1"/>
        <i x="146" s="1"/>
        <i x="119" s="1"/>
        <i x="147" s="1"/>
        <i x="125" s="1"/>
        <i x="3" s="1"/>
        <i x="105" s="1"/>
        <i x="204" s="1"/>
        <i x="113" s="1"/>
        <i x="187" s="1"/>
        <i x="139" s="1"/>
        <i x="92" s="1"/>
        <i x="43" s="1"/>
        <i x="161" s="1"/>
        <i x="129" s="1"/>
        <i x="106" s="1"/>
        <i x="26" s="1"/>
        <i x="112" s="1"/>
        <i x="181" s="1"/>
        <i x="185" s="1"/>
        <i x="51" s="1"/>
        <i x="121" s="1"/>
        <i x="84" s="1"/>
        <i x="42" s="1"/>
        <i x="40" s="1"/>
        <i x="96" s="1"/>
        <i x="154" s="1"/>
        <i x="186" s="1"/>
        <i x="72" s="1"/>
        <i x="24" s="1"/>
        <i x="164" s="1"/>
        <i x="111" s="1"/>
        <i x="12" s="1"/>
        <i x="174" s="1"/>
        <i x="68" s="1"/>
        <i x="15" s="1"/>
        <i x="32" s="1"/>
        <i x="81" s="1"/>
        <i x="170" s="1"/>
        <i x="202" s="1"/>
        <i x="38" s="1"/>
        <i x="141" s="1"/>
        <i x="135" s="1"/>
        <i x="54" s="1"/>
        <i x="7" s="1"/>
        <i x="85" s="1"/>
        <i x="20" s="1"/>
        <i x="37" s="1"/>
        <i x="114" s="1"/>
        <i x="157" s="1"/>
        <i x="162" s="1"/>
        <i x="117" s="1"/>
        <i x="63" s="1"/>
        <i x="22" s="1"/>
        <i x="149" s="1"/>
        <i x="23" s="1"/>
        <i x="192" s="1"/>
        <i x="196" s="1"/>
        <i x="133" s="1"/>
        <i x="167" s="1"/>
        <i x="49" s="1"/>
        <i x="94" s="1"/>
        <i x="189" s="1"/>
        <i x="56" s="1"/>
        <i x="1" s="1"/>
        <i x="148" s="1"/>
        <i x="123" s="1"/>
        <i x="67" s="1"/>
        <i x="10" s="1"/>
        <i x="115" s="1"/>
        <i x="39" s="1"/>
        <i x="97" s="1"/>
        <i x="76" s="1"/>
        <i x="55" s="1"/>
        <i x="166" s="1"/>
        <i x="102" s="1"/>
        <i x="198" s="1"/>
        <i x="47" s="1"/>
        <i x="33" s="1"/>
        <i x="52" s="1"/>
        <i x="178" s="1"/>
        <i x="95" s="1"/>
        <i x="160" s="1"/>
        <i x="150" s="1"/>
        <i x="44" s="1"/>
        <i x="144" s="1"/>
        <i x="6" s="1"/>
        <i x="5" s="1"/>
        <i x="88" s="1"/>
        <i x="128" s="1"/>
        <i x="65" s="1"/>
        <i x="9" s="1"/>
        <i x="194" s="1"/>
        <i x="75" s="1"/>
        <i x="70" s="1"/>
        <i x="21" s="1"/>
        <i x="4" s="1"/>
        <i x="71" s="1"/>
        <i x="171" s="1"/>
        <i x="205" s="1"/>
        <i x="199" s="1"/>
        <i x="53" s="1"/>
        <i x="118" s="1"/>
        <i x="35" s="1"/>
        <i x="61" s="1"/>
        <i x="184" s="1"/>
        <i x="58" s="1"/>
        <i x="177" s="1"/>
        <i x="19" s="1"/>
        <i x="103" s="1"/>
        <i x="83" s="1"/>
        <i x="14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 Role" xr10:uid="{5B29F82E-022B-4F73-8446-55ACE57601B0}" cache="Slicer_Job_Role" caption="Job Role" rowHeight="241300"/>
  <slicer name="Application Source" xr10:uid="{DC2599A2-D517-4F57-A526-747B5A7DC863}" cache="Slicer_Application_Source" caption="Application Source" rowHeight="241300"/>
  <slicer name="Current Status" xr10:uid="{62B8B185-28E3-41B3-BC4C-68298F342A3F}" cache="Slicer_Current_Status" caption="Current Status" rowHeight="241300"/>
  <slicer name="Application Age Category" xr10:uid="{0759803C-83D5-4F22-BF8B-CEDCF7899CCA}" cache="Slicer_Application_Age_Category" caption="Application Age Category" rowHeight="241300"/>
  <slicer name="Mode of Interview" xr10:uid="{4B4F8061-AB7D-4535-91B3-0FFFB8A06A85}" cache="Slicer_Mode_of_Interview" caption="Mode of Interview" rowHeight="241300"/>
  <slicer name="Stage Reached" xr10:uid="{53E7754E-94FB-4D7D-9CDC-AC017AA4E22A}" cache="Slicer_Stage_Reached" caption="Stage Reached" rowHeight="241300"/>
  <slicer name="Company Name" xr10:uid="{18D8AE99-F505-47DB-86D2-BB0E88025D1A}" cache="Slicer_Company_Name" caption="Company Name" startItem="1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7234086-C52C-49E3-9A51-0273E80CE4A0}" name="Table1" displayName="Table1" ref="A1:K209" totalsRowShown="0" headerRowDxfId="5" headerRowBorderDxfId="4" tableBorderDxfId="3">
  <autoFilter ref="A1:K209" xr:uid="{07234086-C52C-49E3-9A51-0273E80CE4A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789FABE0-FD9D-4F32-8D8A-3D2A6520F70A}" name="Application ID"/>
    <tableColumn id="2" xr3:uid="{7DEEE061-27E5-474F-A13E-079A7C5E5DB4}" name="Date Applied" dataDxfId="2"/>
    <tableColumn id="3" xr3:uid="{AE9671C1-EF94-406E-9EA9-95898FCFA78C}" name="Company Name"/>
    <tableColumn id="4" xr3:uid="{6805A153-7F59-4BAB-A4DD-6E1FD53059D6}" name="Job Role"/>
    <tableColumn id="5" xr3:uid="{35447C0E-CBD5-4561-B234-6079D3D926AA}" name="Application Source"/>
    <tableColumn id="6" xr3:uid="{27A944E8-E1A2-43E7-848F-63682B4109D1}" name="Current Status"/>
    <tableColumn id="7" xr3:uid="{198238AC-AFB1-4F39-B5AD-FF8C3ED6CB78}" name="Stage Reached"/>
    <tableColumn id="8" xr3:uid="{E5EFA59D-D099-4A12-95DB-4FC26D123D4E}" name="Mode of Interview"/>
    <tableColumn id="9" xr3:uid="{06A56500-B443-4DF4-9699-EC03AADD52F8}" name="Offer Received"/>
    <tableColumn id="10" xr3:uid="{4CC567E7-AFC1-450E-8527-42E4390E3D91}" name="Application Age Category" dataDxfId="1">
      <calculatedColumnFormula>IF(TODAY()-B2&lt;=30, "Within last 30 Days", IF(TODAY()-B2&lt;=60, "1-2 Months Ago", "3+ Months Ago"))</calculatedColumnFormula>
    </tableColumn>
    <tableColumn id="11" xr3:uid="{8455022B-727F-4F2F-B721-500562110847}" name="Application Age Category Numeric" dataDxfId="0">
      <calculatedColumnFormula>IF(J2="Within last 30 Days",1, IF(J2="1-2 Months Ago",2, IF(J2="3+ Months Ago",3,"")))</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09"/>
  <sheetViews>
    <sheetView topLeftCell="J1" workbookViewId="0">
      <selection activeCell="O9" sqref="O9"/>
    </sheetView>
  </sheetViews>
  <sheetFormatPr defaultRowHeight="14.5" x14ac:dyDescent="0.35"/>
  <cols>
    <col min="1" max="1" width="17.36328125" customWidth="1"/>
    <col min="2" max="2" width="15.81640625" customWidth="1"/>
    <col min="3" max="3" width="27.36328125" customWidth="1"/>
    <col min="4" max="4" width="19.81640625" customWidth="1"/>
    <col min="5" max="5" width="20.26953125" customWidth="1"/>
    <col min="6" max="6" width="21.08984375" customWidth="1"/>
    <col min="7" max="7" width="15.453125" customWidth="1"/>
    <col min="8" max="8" width="18.26953125" customWidth="1"/>
    <col min="9" max="9" width="22.26953125" customWidth="1"/>
    <col min="10" max="10" width="23.7265625" customWidth="1"/>
    <col min="11" max="11" width="31.36328125" customWidth="1"/>
  </cols>
  <sheetData>
    <row r="1" spans="1:11" x14ac:dyDescent="0.35">
      <c r="A1" s="2" t="s">
        <v>0</v>
      </c>
      <c r="B1" s="2" t="s">
        <v>1</v>
      </c>
      <c r="C1" s="2" t="s">
        <v>2</v>
      </c>
      <c r="D1" s="2" t="s">
        <v>3</v>
      </c>
      <c r="E1" s="2" t="s">
        <v>4</v>
      </c>
      <c r="F1" s="2" t="s">
        <v>5</v>
      </c>
      <c r="G1" s="2" t="s">
        <v>6</v>
      </c>
      <c r="H1" s="2" t="s">
        <v>7</v>
      </c>
      <c r="I1" s="2" t="s">
        <v>8</v>
      </c>
      <c r="J1" s="4" t="s">
        <v>444</v>
      </c>
      <c r="K1" s="7" t="s">
        <v>452</v>
      </c>
    </row>
    <row r="2" spans="1:11" x14ac:dyDescent="0.35">
      <c r="A2" t="s">
        <v>9</v>
      </c>
      <c r="B2" s="1">
        <v>45798</v>
      </c>
      <c r="C2" t="s">
        <v>217</v>
      </c>
      <c r="D2" t="s">
        <v>424</v>
      </c>
      <c r="E2" t="s">
        <v>429</v>
      </c>
      <c r="F2" t="s">
        <v>433</v>
      </c>
      <c r="G2" t="s">
        <v>435</v>
      </c>
      <c r="H2" t="s">
        <v>439</v>
      </c>
      <c r="I2" t="s">
        <v>442</v>
      </c>
      <c r="J2" s="5" t="str">
        <f ca="1">IF(TODAY()-B2&lt;=30, "Within last 30 Days", IF(TODAY()-B2&lt;=60, "1-2 Months Ago", "3+ Months Ago"))</f>
        <v>3+ Months Ago</v>
      </c>
      <c r="K2" s="6">
        <f t="shared" ref="K2:K65" ca="1" si="0">IF(J2="Within last 30 Days",1, IF(J2="1-2 Months Ago",2, IF(J2="3+ Months Ago",3,"")))</f>
        <v>3</v>
      </c>
    </row>
    <row r="3" spans="1:11" x14ac:dyDescent="0.35">
      <c r="A3" t="s">
        <v>10</v>
      </c>
      <c r="B3" s="1">
        <v>45813</v>
      </c>
      <c r="C3" t="s">
        <v>218</v>
      </c>
      <c r="D3" t="s">
        <v>424</v>
      </c>
      <c r="E3" t="s">
        <v>432</v>
      </c>
      <c r="F3" t="s">
        <v>433</v>
      </c>
      <c r="G3" t="s">
        <v>436</v>
      </c>
      <c r="H3" t="s">
        <v>440</v>
      </c>
      <c r="I3" t="s">
        <v>442</v>
      </c>
      <c r="J3" s="5" t="str">
        <f t="shared" ref="J3:J66" ca="1" si="1">IF(TODAY()-B3&lt;=30, "Within last 30 Days", IF(TODAY()-B3&lt;=60, "1-2 Months Ago", "3+ Months Ago"))</f>
        <v>3+ Months Ago</v>
      </c>
      <c r="K3" s="6">
        <f t="shared" ca="1" si="0"/>
        <v>3</v>
      </c>
    </row>
    <row r="4" spans="1:11" x14ac:dyDescent="0.35">
      <c r="A4" t="s">
        <v>11</v>
      </c>
      <c r="B4" s="1">
        <v>45693</v>
      </c>
      <c r="C4" t="s">
        <v>219</v>
      </c>
      <c r="D4" t="s">
        <v>424</v>
      </c>
      <c r="E4" t="s">
        <v>430</v>
      </c>
      <c r="F4" t="s">
        <v>433</v>
      </c>
      <c r="G4" t="s">
        <v>436</v>
      </c>
      <c r="H4" t="s">
        <v>440</v>
      </c>
      <c r="I4" t="s">
        <v>442</v>
      </c>
      <c r="J4" s="5" t="str">
        <f t="shared" ca="1" si="1"/>
        <v>3+ Months Ago</v>
      </c>
      <c r="K4" s="6">
        <f t="shared" ca="1" si="0"/>
        <v>3</v>
      </c>
    </row>
    <row r="5" spans="1:11" x14ac:dyDescent="0.35">
      <c r="A5" t="s">
        <v>12</v>
      </c>
      <c r="B5" s="1">
        <v>45688</v>
      </c>
      <c r="C5" t="s">
        <v>220</v>
      </c>
      <c r="D5" t="s">
        <v>427</v>
      </c>
      <c r="E5" t="s">
        <v>429</v>
      </c>
      <c r="F5" t="s">
        <v>434</v>
      </c>
      <c r="G5" t="s">
        <v>436</v>
      </c>
      <c r="H5" t="s">
        <v>439</v>
      </c>
      <c r="I5" t="s">
        <v>443</v>
      </c>
      <c r="J5" s="5" t="str">
        <f t="shared" ca="1" si="1"/>
        <v>3+ Months Ago</v>
      </c>
      <c r="K5" s="6">
        <f t="shared" ca="1" si="0"/>
        <v>3</v>
      </c>
    </row>
    <row r="6" spans="1:11" x14ac:dyDescent="0.35">
      <c r="A6" t="s">
        <v>13</v>
      </c>
      <c r="B6" s="1">
        <v>45708</v>
      </c>
      <c r="C6" t="s">
        <v>221</v>
      </c>
      <c r="D6" t="s">
        <v>425</v>
      </c>
      <c r="E6" t="s">
        <v>430</v>
      </c>
      <c r="F6" t="s">
        <v>434</v>
      </c>
      <c r="G6" t="s">
        <v>437</v>
      </c>
      <c r="H6" t="s">
        <v>440</v>
      </c>
      <c r="I6" t="s">
        <v>443</v>
      </c>
      <c r="J6" s="5" t="str">
        <f t="shared" ca="1" si="1"/>
        <v>3+ Months Ago</v>
      </c>
      <c r="K6" s="6">
        <f t="shared" ca="1" si="0"/>
        <v>3</v>
      </c>
    </row>
    <row r="7" spans="1:11" x14ac:dyDescent="0.35">
      <c r="A7" t="s">
        <v>14</v>
      </c>
      <c r="B7" s="1">
        <v>45783</v>
      </c>
      <c r="C7" t="s">
        <v>222</v>
      </c>
      <c r="D7" t="s">
        <v>424</v>
      </c>
      <c r="E7" t="s">
        <v>431</v>
      </c>
      <c r="F7" t="s">
        <v>433</v>
      </c>
      <c r="G7" t="s">
        <v>436</v>
      </c>
      <c r="H7" t="s">
        <v>441</v>
      </c>
      <c r="I7" t="s">
        <v>442</v>
      </c>
      <c r="J7" s="5" t="str">
        <f t="shared" ca="1" si="1"/>
        <v>3+ Months Ago</v>
      </c>
      <c r="K7" s="6">
        <f t="shared" ca="1" si="0"/>
        <v>3</v>
      </c>
    </row>
    <row r="8" spans="1:11" x14ac:dyDescent="0.35">
      <c r="A8" t="s">
        <v>15</v>
      </c>
      <c r="B8" s="1">
        <v>45726</v>
      </c>
      <c r="C8" t="s">
        <v>223</v>
      </c>
      <c r="D8" t="s">
        <v>427</v>
      </c>
      <c r="E8" t="s">
        <v>432</v>
      </c>
      <c r="F8" t="s">
        <v>433</v>
      </c>
      <c r="G8" t="s">
        <v>438</v>
      </c>
      <c r="H8" t="s">
        <v>440</v>
      </c>
      <c r="I8" t="s">
        <v>442</v>
      </c>
      <c r="J8" s="5" t="str">
        <f t="shared" ca="1" si="1"/>
        <v>3+ Months Ago</v>
      </c>
      <c r="K8" s="6">
        <f t="shared" ca="1" si="0"/>
        <v>3</v>
      </c>
    </row>
    <row r="9" spans="1:11" x14ac:dyDescent="0.35">
      <c r="A9" t="s">
        <v>16</v>
      </c>
      <c r="B9" s="1">
        <v>45821</v>
      </c>
      <c r="C9" t="s">
        <v>224</v>
      </c>
      <c r="D9" t="s">
        <v>427</v>
      </c>
      <c r="E9" t="s">
        <v>430</v>
      </c>
      <c r="F9" t="s">
        <v>433</v>
      </c>
      <c r="G9" t="s">
        <v>437</v>
      </c>
      <c r="H9" t="s">
        <v>441</v>
      </c>
      <c r="I9" t="s">
        <v>442</v>
      </c>
      <c r="J9" s="5" t="str">
        <f t="shared" ca="1" si="1"/>
        <v>3+ Months Ago</v>
      </c>
      <c r="K9" s="6">
        <f t="shared" ca="1" si="0"/>
        <v>3</v>
      </c>
    </row>
    <row r="10" spans="1:11" x14ac:dyDescent="0.35">
      <c r="A10" t="s">
        <v>17</v>
      </c>
      <c r="B10" s="1">
        <v>45843</v>
      </c>
      <c r="C10" t="s">
        <v>225</v>
      </c>
      <c r="D10" t="s">
        <v>424</v>
      </c>
      <c r="E10" t="s">
        <v>429</v>
      </c>
      <c r="F10" t="s">
        <v>433</v>
      </c>
      <c r="G10" t="s">
        <v>438</v>
      </c>
      <c r="H10" t="s">
        <v>439</v>
      </c>
      <c r="I10" t="s">
        <v>442</v>
      </c>
      <c r="J10" s="5" t="str">
        <f t="shared" ca="1" si="1"/>
        <v>3+ Months Ago</v>
      </c>
      <c r="K10" s="6">
        <f t="shared" ca="1" si="0"/>
        <v>3</v>
      </c>
    </row>
    <row r="11" spans="1:11" x14ac:dyDescent="0.35">
      <c r="A11" t="s">
        <v>18</v>
      </c>
      <c r="B11" s="1">
        <v>45769</v>
      </c>
      <c r="C11" t="s">
        <v>226</v>
      </c>
      <c r="D11" t="s">
        <v>427</v>
      </c>
      <c r="E11" t="s">
        <v>430</v>
      </c>
      <c r="F11" t="s">
        <v>433</v>
      </c>
      <c r="G11" t="s">
        <v>438</v>
      </c>
      <c r="H11" t="s">
        <v>440</v>
      </c>
      <c r="I11" t="s">
        <v>442</v>
      </c>
      <c r="J11" s="5" t="str">
        <f t="shared" ca="1" si="1"/>
        <v>3+ Months Ago</v>
      </c>
      <c r="K11" s="6">
        <f t="shared" ca="1" si="0"/>
        <v>3</v>
      </c>
    </row>
    <row r="12" spans="1:11" x14ac:dyDescent="0.35">
      <c r="A12" t="s">
        <v>19</v>
      </c>
      <c r="B12" s="1">
        <v>45799</v>
      </c>
      <c r="C12" t="s">
        <v>227</v>
      </c>
      <c r="D12" t="s">
        <v>426</v>
      </c>
      <c r="E12" t="s">
        <v>428</v>
      </c>
      <c r="F12" t="s">
        <v>433</v>
      </c>
      <c r="G12" t="s">
        <v>435</v>
      </c>
      <c r="H12" t="s">
        <v>439</v>
      </c>
      <c r="I12" t="s">
        <v>442</v>
      </c>
      <c r="J12" s="5" t="str">
        <f t="shared" ca="1" si="1"/>
        <v>3+ Months Ago</v>
      </c>
      <c r="K12" s="6">
        <f t="shared" ca="1" si="0"/>
        <v>3</v>
      </c>
    </row>
    <row r="13" spans="1:11" x14ac:dyDescent="0.35">
      <c r="A13" t="s">
        <v>20</v>
      </c>
      <c r="B13" s="1">
        <v>45703</v>
      </c>
      <c r="C13" t="s">
        <v>228</v>
      </c>
      <c r="D13" t="s">
        <v>426</v>
      </c>
      <c r="E13" t="s">
        <v>431</v>
      </c>
      <c r="F13" t="s">
        <v>433</v>
      </c>
      <c r="G13" t="s">
        <v>437</v>
      </c>
      <c r="H13" t="s">
        <v>439</v>
      </c>
      <c r="I13" t="s">
        <v>442</v>
      </c>
      <c r="J13" s="5" t="str">
        <f t="shared" ca="1" si="1"/>
        <v>3+ Months Ago</v>
      </c>
      <c r="K13" s="6">
        <f t="shared" ca="1" si="0"/>
        <v>3</v>
      </c>
    </row>
    <row r="14" spans="1:11" x14ac:dyDescent="0.35">
      <c r="A14" t="s">
        <v>21</v>
      </c>
      <c r="B14" s="1">
        <v>45674</v>
      </c>
      <c r="C14" t="s">
        <v>229</v>
      </c>
      <c r="D14" t="s">
        <v>424</v>
      </c>
      <c r="E14" t="s">
        <v>431</v>
      </c>
      <c r="F14" t="s">
        <v>433</v>
      </c>
      <c r="G14" t="s">
        <v>435</v>
      </c>
      <c r="H14" t="s">
        <v>439</v>
      </c>
      <c r="I14" t="s">
        <v>442</v>
      </c>
      <c r="J14" s="5" t="str">
        <f t="shared" ca="1" si="1"/>
        <v>3+ Months Ago</v>
      </c>
      <c r="K14" s="6">
        <f t="shared" ca="1" si="0"/>
        <v>3</v>
      </c>
    </row>
    <row r="15" spans="1:11" x14ac:dyDescent="0.35">
      <c r="A15" t="s">
        <v>22</v>
      </c>
      <c r="B15" s="1">
        <v>45691</v>
      </c>
      <c r="C15" t="s">
        <v>230</v>
      </c>
      <c r="D15" t="s">
        <v>424</v>
      </c>
      <c r="E15" t="s">
        <v>431</v>
      </c>
      <c r="F15" t="s">
        <v>433</v>
      </c>
      <c r="G15" t="s">
        <v>437</v>
      </c>
      <c r="H15" t="s">
        <v>440</v>
      </c>
      <c r="I15" t="s">
        <v>442</v>
      </c>
      <c r="J15" s="5" t="str">
        <f t="shared" ca="1" si="1"/>
        <v>3+ Months Ago</v>
      </c>
      <c r="K15" s="6">
        <f t="shared" ca="1" si="0"/>
        <v>3</v>
      </c>
    </row>
    <row r="16" spans="1:11" x14ac:dyDescent="0.35">
      <c r="A16" t="s">
        <v>23</v>
      </c>
      <c r="B16" s="1">
        <v>45793</v>
      </c>
      <c r="C16" t="s">
        <v>231</v>
      </c>
      <c r="D16" t="s">
        <v>426</v>
      </c>
      <c r="E16" t="s">
        <v>432</v>
      </c>
      <c r="F16" t="s">
        <v>434</v>
      </c>
      <c r="G16" t="s">
        <v>436</v>
      </c>
      <c r="H16" t="s">
        <v>439</v>
      </c>
      <c r="I16" t="s">
        <v>443</v>
      </c>
      <c r="J16" s="5" t="str">
        <f t="shared" ca="1" si="1"/>
        <v>3+ Months Ago</v>
      </c>
      <c r="K16" s="6">
        <f t="shared" ca="1" si="0"/>
        <v>3</v>
      </c>
    </row>
    <row r="17" spans="1:11" x14ac:dyDescent="0.35">
      <c r="A17" t="s">
        <v>24</v>
      </c>
      <c r="B17" s="1">
        <v>45838</v>
      </c>
      <c r="C17" t="s">
        <v>232</v>
      </c>
      <c r="D17" t="s">
        <v>423</v>
      </c>
      <c r="E17" t="s">
        <v>429</v>
      </c>
      <c r="F17" t="s">
        <v>433</v>
      </c>
      <c r="G17" t="s">
        <v>438</v>
      </c>
      <c r="H17" t="s">
        <v>441</v>
      </c>
      <c r="I17" t="s">
        <v>442</v>
      </c>
      <c r="J17" s="5" t="str">
        <f t="shared" ca="1" si="1"/>
        <v>3+ Months Ago</v>
      </c>
      <c r="K17" s="6">
        <f t="shared" ca="1" si="0"/>
        <v>3</v>
      </c>
    </row>
    <row r="18" spans="1:11" x14ac:dyDescent="0.35">
      <c r="A18" t="s">
        <v>25</v>
      </c>
      <c r="B18" s="1">
        <v>45722</v>
      </c>
      <c r="C18" t="s">
        <v>233</v>
      </c>
      <c r="D18" t="s">
        <v>423</v>
      </c>
      <c r="E18" t="s">
        <v>432</v>
      </c>
      <c r="F18" t="s">
        <v>433</v>
      </c>
      <c r="G18" t="s">
        <v>435</v>
      </c>
      <c r="H18" t="s">
        <v>441</v>
      </c>
      <c r="I18" t="s">
        <v>442</v>
      </c>
      <c r="J18" s="5" t="str">
        <f t="shared" ca="1" si="1"/>
        <v>3+ Months Ago</v>
      </c>
      <c r="K18" s="6">
        <f t="shared" ca="1" si="0"/>
        <v>3</v>
      </c>
    </row>
    <row r="19" spans="1:11" x14ac:dyDescent="0.35">
      <c r="A19" t="s">
        <v>26</v>
      </c>
      <c r="B19" s="1">
        <v>45689</v>
      </c>
      <c r="C19" t="s">
        <v>234</v>
      </c>
      <c r="D19" t="s">
        <v>423</v>
      </c>
      <c r="E19" t="s">
        <v>430</v>
      </c>
      <c r="F19" t="s">
        <v>433</v>
      </c>
      <c r="G19" t="s">
        <v>436</v>
      </c>
      <c r="H19" t="s">
        <v>440</v>
      </c>
      <c r="I19" t="s">
        <v>442</v>
      </c>
      <c r="J19" s="5" t="str">
        <f t="shared" ca="1" si="1"/>
        <v>3+ Months Ago</v>
      </c>
      <c r="K19" s="6">
        <f t="shared" ca="1" si="0"/>
        <v>3</v>
      </c>
    </row>
    <row r="20" spans="1:11" x14ac:dyDescent="0.35">
      <c r="A20" t="s">
        <v>27</v>
      </c>
      <c r="B20" s="1">
        <v>45741</v>
      </c>
      <c r="C20" t="s">
        <v>235</v>
      </c>
      <c r="D20" t="s">
        <v>423</v>
      </c>
      <c r="E20" t="s">
        <v>431</v>
      </c>
      <c r="F20" t="s">
        <v>433</v>
      </c>
      <c r="G20" t="s">
        <v>435</v>
      </c>
      <c r="H20" t="s">
        <v>439</v>
      </c>
      <c r="I20" t="s">
        <v>442</v>
      </c>
      <c r="J20" s="5" t="str">
        <f t="shared" ca="1" si="1"/>
        <v>3+ Months Ago</v>
      </c>
      <c r="K20" s="6">
        <f t="shared" ca="1" si="0"/>
        <v>3</v>
      </c>
    </row>
    <row r="21" spans="1:11" x14ac:dyDescent="0.35">
      <c r="A21" t="s">
        <v>28</v>
      </c>
      <c r="B21" s="1">
        <v>45807</v>
      </c>
      <c r="C21" t="s">
        <v>236</v>
      </c>
      <c r="D21" t="s">
        <v>427</v>
      </c>
      <c r="E21" t="s">
        <v>430</v>
      </c>
      <c r="F21" t="s">
        <v>433</v>
      </c>
      <c r="G21" t="s">
        <v>436</v>
      </c>
      <c r="H21" t="s">
        <v>439</v>
      </c>
      <c r="I21" t="s">
        <v>442</v>
      </c>
      <c r="J21" s="5" t="str">
        <f t="shared" ca="1" si="1"/>
        <v>3+ Months Ago</v>
      </c>
      <c r="K21" s="6">
        <f t="shared" ca="1" si="0"/>
        <v>3</v>
      </c>
    </row>
    <row r="22" spans="1:11" x14ac:dyDescent="0.35">
      <c r="A22" t="s">
        <v>29</v>
      </c>
      <c r="B22" s="1">
        <v>45778</v>
      </c>
      <c r="C22" t="s">
        <v>237</v>
      </c>
      <c r="D22" t="s">
        <v>425</v>
      </c>
      <c r="E22" t="s">
        <v>432</v>
      </c>
      <c r="F22" t="s">
        <v>434</v>
      </c>
      <c r="G22" t="s">
        <v>438</v>
      </c>
      <c r="H22" t="s">
        <v>439</v>
      </c>
      <c r="I22" t="s">
        <v>443</v>
      </c>
      <c r="J22" s="5" t="str">
        <f t="shared" ca="1" si="1"/>
        <v>3+ Months Ago</v>
      </c>
      <c r="K22" s="6">
        <f t="shared" ca="1" si="0"/>
        <v>3</v>
      </c>
    </row>
    <row r="23" spans="1:11" x14ac:dyDescent="0.35">
      <c r="A23" t="s">
        <v>30</v>
      </c>
      <c r="B23" s="1">
        <v>45807</v>
      </c>
      <c r="C23" t="s">
        <v>238</v>
      </c>
      <c r="D23" t="s">
        <v>426</v>
      </c>
      <c r="E23" t="s">
        <v>431</v>
      </c>
      <c r="F23" t="s">
        <v>433</v>
      </c>
      <c r="G23" t="s">
        <v>438</v>
      </c>
      <c r="H23" t="s">
        <v>441</v>
      </c>
      <c r="I23" t="s">
        <v>442</v>
      </c>
      <c r="J23" s="5" t="str">
        <f t="shared" ca="1" si="1"/>
        <v>3+ Months Ago</v>
      </c>
      <c r="K23" s="6">
        <f t="shared" ca="1" si="0"/>
        <v>3</v>
      </c>
    </row>
    <row r="24" spans="1:11" x14ac:dyDescent="0.35">
      <c r="A24" t="s">
        <v>31</v>
      </c>
      <c r="B24" s="1">
        <v>45701</v>
      </c>
      <c r="C24" t="s">
        <v>239</v>
      </c>
      <c r="D24" t="s">
        <v>426</v>
      </c>
      <c r="E24" t="s">
        <v>429</v>
      </c>
      <c r="F24" t="s">
        <v>434</v>
      </c>
      <c r="G24" t="s">
        <v>436</v>
      </c>
      <c r="H24" t="s">
        <v>440</v>
      </c>
      <c r="I24" t="s">
        <v>443</v>
      </c>
      <c r="J24" s="5" t="str">
        <f t="shared" ca="1" si="1"/>
        <v>3+ Months Ago</v>
      </c>
      <c r="K24" s="6">
        <f t="shared" ca="1" si="0"/>
        <v>3</v>
      </c>
    </row>
    <row r="25" spans="1:11" x14ac:dyDescent="0.35">
      <c r="A25" t="s">
        <v>32</v>
      </c>
      <c r="B25" s="1">
        <v>45674</v>
      </c>
      <c r="C25" t="s">
        <v>240</v>
      </c>
      <c r="D25" t="s">
        <v>424</v>
      </c>
      <c r="E25" t="s">
        <v>431</v>
      </c>
      <c r="F25" t="s">
        <v>434</v>
      </c>
      <c r="G25" t="s">
        <v>435</v>
      </c>
      <c r="H25" t="s">
        <v>439</v>
      </c>
      <c r="I25" t="s">
        <v>443</v>
      </c>
      <c r="J25" s="5" t="str">
        <f t="shared" ca="1" si="1"/>
        <v>3+ Months Ago</v>
      </c>
      <c r="K25" s="6">
        <f t="shared" ca="1" si="0"/>
        <v>3</v>
      </c>
    </row>
    <row r="26" spans="1:11" x14ac:dyDescent="0.35">
      <c r="A26" t="s">
        <v>33</v>
      </c>
      <c r="B26" s="1">
        <v>45840</v>
      </c>
      <c r="C26" t="s">
        <v>241</v>
      </c>
      <c r="D26" t="s">
        <v>424</v>
      </c>
      <c r="E26" t="s">
        <v>432</v>
      </c>
      <c r="F26" t="s">
        <v>433</v>
      </c>
      <c r="G26" t="s">
        <v>438</v>
      </c>
      <c r="H26" t="s">
        <v>439</v>
      </c>
      <c r="I26" t="s">
        <v>442</v>
      </c>
      <c r="J26" s="5" t="str">
        <f t="shared" ca="1" si="1"/>
        <v>3+ Months Ago</v>
      </c>
      <c r="K26" s="6">
        <f t="shared" ca="1" si="0"/>
        <v>3</v>
      </c>
    </row>
    <row r="27" spans="1:11" x14ac:dyDescent="0.35">
      <c r="A27" t="s">
        <v>34</v>
      </c>
      <c r="B27" s="1">
        <v>45740</v>
      </c>
      <c r="C27" t="s">
        <v>242</v>
      </c>
      <c r="D27" t="s">
        <v>425</v>
      </c>
      <c r="E27" t="s">
        <v>429</v>
      </c>
      <c r="F27" t="s">
        <v>433</v>
      </c>
      <c r="G27" t="s">
        <v>438</v>
      </c>
      <c r="H27" t="s">
        <v>440</v>
      </c>
      <c r="I27" t="s">
        <v>442</v>
      </c>
      <c r="J27" s="5" t="str">
        <f t="shared" ca="1" si="1"/>
        <v>3+ Months Ago</v>
      </c>
      <c r="K27" s="6">
        <f t="shared" ca="1" si="0"/>
        <v>3</v>
      </c>
    </row>
    <row r="28" spans="1:11" x14ac:dyDescent="0.35">
      <c r="A28" t="s">
        <v>35</v>
      </c>
      <c r="B28" s="1">
        <v>45672</v>
      </c>
      <c r="C28" t="s">
        <v>243</v>
      </c>
      <c r="D28" t="s">
        <v>427</v>
      </c>
      <c r="E28" t="s">
        <v>432</v>
      </c>
      <c r="F28" t="s">
        <v>433</v>
      </c>
      <c r="G28" t="s">
        <v>437</v>
      </c>
      <c r="H28" t="s">
        <v>439</v>
      </c>
      <c r="I28" t="s">
        <v>442</v>
      </c>
      <c r="J28" s="5" t="str">
        <f t="shared" ca="1" si="1"/>
        <v>3+ Months Ago</v>
      </c>
      <c r="K28" s="6">
        <f t="shared" ca="1" si="0"/>
        <v>3</v>
      </c>
    </row>
    <row r="29" spans="1:11" x14ac:dyDescent="0.35">
      <c r="A29" t="s">
        <v>36</v>
      </c>
      <c r="B29" s="1">
        <v>45670</v>
      </c>
      <c r="C29" t="s">
        <v>244</v>
      </c>
      <c r="D29" t="s">
        <v>424</v>
      </c>
      <c r="E29" t="s">
        <v>429</v>
      </c>
      <c r="F29" t="s">
        <v>434</v>
      </c>
      <c r="G29" t="s">
        <v>438</v>
      </c>
      <c r="H29" t="s">
        <v>440</v>
      </c>
      <c r="I29" t="s">
        <v>443</v>
      </c>
      <c r="J29" s="5" t="str">
        <f t="shared" ca="1" si="1"/>
        <v>3+ Months Ago</v>
      </c>
      <c r="K29" s="6">
        <f t="shared" ca="1" si="0"/>
        <v>3</v>
      </c>
    </row>
    <row r="30" spans="1:11" x14ac:dyDescent="0.35">
      <c r="A30" t="s">
        <v>37</v>
      </c>
      <c r="B30" s="1">
        <v>45796</v>
      </c>
      <c r="C30" t="s">
        <v>245</v>
      </c>
      <c r="D30" t="s">
        <v>423</v>
      </c>
      <c r="E30" t="s">
        <v>428</v>
      </c>
      <c r="F30" t="s">
        <v>433</v>
      </c>
      <c r="G30" t="s">
        <v>438</v>
      </c>
      <c r="H30" t="s">
        <v>441</v>
      </c>
      <c r="I30" t="s">
        <v>442</v>
      </c>
      <c r="J30" s="5" t="str">
        <f t="shared" ca="1" si="1"/>
        <v>3+ Months Ago</v>
      </c>
      <c r="K30" s="6">
        <f t="shared" ca="1" si="0"/>
        <v>3</v>
      </c>
    </row>
    <row r="31" spans="1:11" x14ac:dyDescent="0.35">
      <c r="A31" t="s">
        <v>38</v>
      </c>
      <c r="B31" s="1">
        <v>45798</v>
      </c>
      <c r="C31" t="s">
        <v>246</v>
      </c>
      <c r="D31" t="s">
        <v>423</v>
      </c>
      <c r="E31" t="s">
        <v>431</v>
      </c>
      <c r="F31" t="s">
        <v>433</v>
      </c>
      <c r="G31" t="s">
        <v>435</v>
      </c>
      <c r="H31" t="s">
        <v>440</v>
      </c>
      <c r="I31" t="s">
        <v>442</v>
      </c>
      <c r="J31" s="5" t="str">
        <f t="shared" ca="1" si="1"/>
        <v>3+ Months Ago</v>
      </c>
      <c r="K31" s="6">
        <f t="shared" ca="1" si="0"/>
        <v>3</v>
      </c>
    </row>
    <row r="32" spans="1:11" x14ac:dyDescent="0.35">
      <c r="A32" t="s">
        <v>39</v>
      </c>
      <c r="B32" s="1">
        <v>45821</v>
      </c>
      <c r="C32" t="s">
        <v>247</v>
      </c>
      <c r="D32" t="s">
        <v>427</v>
      </c>
      <c r="E32" t="s">
        <v>428</v>
      </c>
      <c r="F32" t="s">
        <v>433</v>
      </c>
      <c r="G32" t="s">
        <v>435</v>
      </c>
      <c r="H32" t="s">
        <v>441</v>
      </c>
      <c r="I32" t="s">
        <v>442</v>
      </c>
      <c r="J32" s="5" t="str">
        <f t="shared" ca="1" si="1"/>
        <v>3+ Months Ago</v>
      </c>
      <c r="K32" s="6">
        <f t="shared" ca="1" si="0"/>
        <v>3</v>
      </c>
    </row>
    <row r="33" spans="1:11" x14ac:dyDescent="0.35">
      <c r="A33" t="s">
        <v>40</v>
      </c>
      <c r="B33" s="1">
        <v>45699</v>
      </c>
      <c r="C33" t="s">
        <v>248</v>
      </c>
      <c r="D33" t="s">
        <v>425</v>
      </c>
      <c r="E33" t="s">
        <v>430</v>
      </c>
      <c r="F33" t="s">
        <v>433</v>
      </c>
      <c r="G33" t="s">
        <v>436</v>
      </c>
      <c r="H33" t="s">
        <v>440</v>
      </c>
      <c r="I33" t="s">
        <v>442</v>
      </c>
      <c r="J33" s="5" t="str">
        <f t="shared" ca="1" si="1"/>
        <v>3+ Months Ago</v>
      </c>
      <c r="K33" s="6">
        <f t="shared" ca="1" si="0"/>
        <v>3</v>
      </c>
    </row>
    <row r="34" spans="1:11" x14ac:dyDescent="0.35">
      <c r="A34" t="s">
        <v>41</v>
      </c>
      <c r="B34" s="1">
        <v>45701</v>
      </c>
      <c r="C34" t="s">
        <v>249</v>
      </c>
      <c r="D34" t="s">
        <v>427</v>
      </c>
      <c r="E34" t="s">
        <v>432</v>
      </c>
      <c r="F34" t="s">
        <v>433</v>
      </c>
      <c r="G34" t="s">
        <v>437</v>
      </c>
      <c r="H34" t="s">
        <v>440</v>
      </c>
      <c r="I34" t="s">
        <v>442</v>
      </c>
      <c r="J34" s="5" t="str">
        <f t="shared" ca="1" si="1"/>
        <v>3+ Months Ago</v>
      </c>
      <c r="K34" s="6">
        <f t="shared" ca="1" si="0"/>
        <v>3</v>
      </c>
    </row>
    <row r="35" spans="1:11" x14ac:dyDescent="0.35">
      <c r="A35" t="s">
        <v>42</v>
      </c>
      <c r="B35" s="1">
        <v>45829</v>
      </c>
      <c r="C35" t="s">
        <v>250</v>
      </c>
      <c r="D35" t="s">
        <v>424</v>
      </c>
      <c r="E35" t="s">
        <v>432</v>
      </c>
      <c r="F35" t="s">
        <v>434</v>
      </c>
      <c r="G35" t="s">
        <v>438</v>
      </c>
      <c r="H35" t="s">
        <v>441</v>
      </c>
      <c r="I35" t="s">
        <v>443</v>
      </c>
      <c r="J35" s="5" t="str">
        <f t="shared" ca="1" si="1"/>
        <v>3+ Months Ago</v>
      </c>
      <c r="K35" s="6">
        <f t="shared" ca="1" si="0"/>
        <v>3</v>
      </c>
    </row>
    <row r="36" spans="1:11" x14ac:dyDescent="0.35">
      <c r="A36" t="s">
        <v>43</v>
      </c>
      <c r="B36" s="1">
        <v>45744</v>
      </c>
      <c r="C36" t="s">
        <v>251</v>
      </c>
      <c r="D36" t="s">
        <v>427</v>
      </c>
      <c r="E36" t="s">
        <v>429</v>
      </c>
      <c r="F36" t="s">
        <v>434</v>
      </c>
      <c r="G36" t="s">
        <v>436</v>
      </c>
      <c r="H36" t="s">
        <v>441</v>
      </c>
      <c r="I36" t="s">
        <v>443</v>
      </c>
      <c r="J36" s="5" t="str">
        <f t="shared" ca="1" si="1"/>
        <v>3+ Months Ago</v>
      </c>
      <c r="K36" s="6">
        <f t="shared" ca="1" si="0"/>
        <v>3</v>
      </c>
    </row>
    <row r="37" spans="1:11" x14ac:dyDescent="0.35">
      <c r="A37" t="s">
        <v>44</v>
      </c>
      <c r="B37" s="1">
        <v>45701</v>
      </c>
      <c r="C37" t="s">
        <v>252</v>
      </c>
      <c r="D37" t="s">
        <v>427</v>
      </c>
      <c r="E37" t="s">
        <v>431</v>
      </c>
      <c r="F37" t="s">
        <v>433</v>
      </c>
      <c r="G37" t="s">
        <v>438</v>
      </c>
      <c r="H37" t="s">
        <v>441</v>
      </c>
      <c r="I37" t="s">
        <v>442</v>
      </c>
      <c r="J37" s="5" t="str">
        <f t="shared" ca="1" si="1"/>
        <v>3+ Months Ago</v>
      </c>
      <c r="K37" s="6">
        <f t="shared" ca="1" si="0"/>
        <v>3</v>
      </c>
    </row>
    <row r="38" spans="1:11" x14ac:dyDescent="0.35">
      <c r="A38" t="s">
        <v>45</v>
      </c>
      <c r="B38" s="1">
        <v>45674</v>
      </c>
      <c r="C38" t="s">
        <v>253</v>
      </c>
      <c r="D38" t="s">
        <v>427</v>
      </c>
      <c r="E38" t="s">
        <v>430</v>
      </c>
      <c r="F38" t="s">
        <v>433</v>
      </c>
      <c r="G38" t="s">
        <v>435</v>
      </c>
      <c r="H38" t="s">
        <v>441</v>
      </c>
      <c r="I38" t="s">
        <v>442</v>
      </c>
      <c r="J38" s="5" t="str">
        <f t="shared" ca="1" si="1"/>
        <v>3+ Months Ago</v>
      </c>
      <c r="K38" s="6">
        <f t="shared" ca="1" si="0"/>
        <v>3</v>
      </c>
    </row>
    <row r="39" spans="1:11" x14ac:dyDescent="0.35">
      <c r="A39" t="s">
        <v>46</v>
      </c>
      <c r="B39" s="1">
        <v>45674</v>
      </c>
      <c r="C39" t="s">
        <v>254</v>
      </c>
      <c r="D39" t="s">
        <v>425</v>
      </c>
      <c r="E39" t="s">
        <v>428</v>
      </c>
      <c r="F39" t="s">
        <v>433</v>
      </c>
      <c r="G39" t="s">
        <v>438</v>
      </c>
      <c r="H39" t="s">
        <v>439</v>
      </c>
      <c r="I39" t="s">
        <v>442</v>
      </c>
      <c r="J39" s="5" t="str">
        <f t="shared" ca="1" si="1"/>
        <v>3+ Months Ago</v>
      </c>
      <c r="K39" s="6">
        <f t="shared" ca="1" si="0"/>
        <v>3</v>
      </c>
    </row>
    <row r="40" spans="1:11" x14ac:dyDescent="0.35">
      <c r="A40" t="s">
        <v>47</v>
      </c>
      <c r="B40" s="1">
        <v>45775</v>
      </c>
      <c r="C40" t="s">
        <v>255</v>
      </c>
      <c r="D40" t="s">
        <v>426</v>
      </c>
      <c r="E40" t="s">
        <v>431</v>
      </c>
      <c r="F40" t="s">
        <v>434</v>
      </c>
      <c r="G40" t="s">
        <v>436</v>
      </c>
      <c r="H40" t="s">
        <v>440</v>
      </c>
      <c r="I40" t="s">
        <v>443</v>
      </c>
      <c r="J40" s="5" t="str">
        <f t="shared" ca="1" si="1"/>
        <v>3+ Months Ago</v>
      </c>
      <c r="K40" s="6">
        <f t="shared" ca="1" si="0"/>
        <v>3</v>
      </c>
    </row>
    <row r="41" spans="1:11" x14ac:dyDescent="0.35">
      <c r="A41" t="s">
        <v>48</v>
      </c>
      <c r="B41" s="1">
        <v>45687</v>
      </c>
      <c r="C41" t="s">
        <v>257</v>
      </c>
      <c r="D41" t="s">
        <v>424</v>
      </c>
      <c r="E41" t="s">
        <v>430</v>
      </c>
      <c r="F41" t="s">
        <v>434</v>
      </c>
      <c r="G41" t="s">
        <v>438</v>
      </c>
      <c r="H41" t="s">
        <v>439</v>
      </c>
      <c r="I41" t="s">
        <v>443</v>
      </c>
      <c r="J41" s="5" t="str">
        <f t="shared" ca="1" si="1"/>
        <v>3+ Months Ago</v>
      </c>
      <c r="K41" s="6">
        <f t="shared" ca="1" si="0"/>
        <v>3</v>
      </c>
    </row>
    <row r="42" spans="1:11" x14ac:dyDescent="0.35">
      <c r="A42" t="s">
        <v>49</v>
      </c>
      <c r="B42" s="1">
        <v>45843</v>
      </c>
      <c r="C42" t="s">
        <v>258</v>
      </c>
      <c r="D42" t="s">
        <v>424</v>
      </c>
      <c r="E42" t="s">
        <v>431</v>
      </c>
      <c r="F42" t="s">
        <v>433</v>
      </c>
      <c r="G42" t="s">
        <v>436</v>
      </c>
      <c r="H42" t="s">
        <v>440</v>
      </c>
      <c r="I42" t="s">
        <v>442</v>
      </c>
      <c r="J42" s="5" t="str">
        <f t="shared" ca="1" si="1"/>
        <v>3+ Months Ago</v>
      </c>
      <c r="K42" s="6">
        <f t="shared" ca="1" si="0"/>
        <v>3</v>
      </c>
    </row>
    <row r="43" spans="1:11" x14ac:dyDescent="0.35">
      <c r="A43" t="s">
        <v>50</v>
      </c>
      <c r="B43" s="1">
        <v>45698</v>
      </c>
      <c r="C43" t="s">
        <v>259</v>
      </c>
      <c r="D43" t="s">
        <v>423</v>
      </c>
      <c r="E43" t="s">
        <v>428</v>
      </c>
      <c r="F43" t="s">
        <v>433</v>
      </c>
      <c r="G43" t="s">
        <v>436</v>
      </c>
      <c r="H43" t="s">
        <v>440</v>
      </c>
      <c r="I43" t="s">
        <v>442</v>
      </c>
      <c r="J43" s="5" t="str">
        <f t="shared" ca="1" si="1"/>
        <v>3+ Months Ago</v>
      </c>
      <c r="K43" s="6">
        <f t="shared" ca="1" si="0"/>
        <v>3</v>
      </c>
    </row>
    <row r="44" spans="1:11" x14ac:dyDescent="0.35">
      <c r="A44" t="s">
        <v>51</v>
      </c>
      <c r="B44" s="1">
        <v>45673</v>
      </c>
      <c r="C44" t="s">
        <v>260</v>
      </c>
      <c r="D44" t="s">
        <v>426</v>
      </c>
      <c r="E44" t="s">
        <v>430</v>
      </c>
      <c r="F44" t="s">
        <v>434</v>
      </c>
      <c r="G44" t="s">
        <v>436</v>
      </c>
      <c r="H44" t="s">
        <v>441</v>
      </c>
      <c r="I44" t="s">
        <v>443</v>
      </c>
      <c r="J44" s="5" t="str">
        <f t="shared" ca="1" si="1"/>
        <v>3+ Months Ago</v>
      </c>
      <c r="K44" s="6">
        <f t="shared" ca="1" si="0"/>
        <v>3</v>
      </c>
    </row>
    <row r="45" spans="1:11" x14ac:dyDescent="0.35">
      <c r="A45" t="s">
        <v>52</v>
      </c>
      <c r="B45" s="1">
        <v>45810</v>
      </c>
      <c r="C45" t="s">
        <v>261</v>
      </c>
      <c r="D45" t="s">
        <v>424</v>
      </c>
      <c r="E45" t="s">
        <v>431</v>
      </c>
      <c r="F45" t="s">
        <v>433</v>
      </c>
      <c r="G45" t="s">
        <v>436</v>
      </c>
      <c r="H45" t="s">
        <v>441</v>
      </c>
      <c r="I45" t="s">
        <v>442</v>
      </c>
      <c r="J45" s="5" t="str">
        <f t="shared" ca="1" si="1"/>
        <v>3+ Months Ago</v>
      </c>
      <c r="K45" s="6">
        <f t="shared" ca="1" si="0"/>
        <v>3</v>
      </c>
    </row>
    <row r="46" spans="1:11" x14ac:dyDescent="0.35">
      <c r="A46" t="s">
        <v>53</v>
      </c>
      <c r="B46" s="1">
        <v>45830</v>
      </c>
      <c r="C46" t="s">
        <v>262</v>
      </c>
      <c r="D46" t="s">
        <v>424</v>
      </c>
      <c r="E46" t="s">
        <v>428</v>
      </c>
      <c r="F46" t="s">
        <v>434</v>
      </c>
      <c r="G46" t="s">
        <v>437</v>
      </c>
      <c r="H46" t="s">
        <v>439</v>
      </c>
      <c r="I46" t="s">
        <v>443</v>
      </c>
      <c r="J46" s="5" t="str">
        <f t="shared" ca="1" si="1"/>
        <v>3+ Months Ago</v>
      </c>
      <c r="K46" s="6">
        <f t="shared" ca="1" si="0"/>
        <v>3</v>
      </c>
    </row>
    <row r="47" spans="1:11" x14ac:dyDescent="0.35">
      <c r="A47" t="s">
        <v>54</v>
      </c>
      <c r="B47" s="1">
        <v>45756</v>
      </c>
      <c r="C47" t="s">
        <v>263</v>
      </c>
      <c r="D47" t="s">
        <v>427</v>
      </c>
      <c r="E47" t="s">
        <v>432</v>
      </c>
      <c r="F47" t="s">
        <v>434</v>
      </c>
      <c r="G47" t="s">
        <v>436</v>
      </c>
      <c r="H47" t="s">
        <v>440</v>
      </c>
      <c r="I47" t="s">
        <v>443</v>
      </c>
      <c r="J47" s="5" t="str">
        <f t="shared" ca="1" si="1"/>
        <v>3+ Months Ago</v>
      </c>
      <c r="K47" s="6">
        <f t="shared" ca="1" si="0"/>
        <v>3</v>
      </c>
    </row>
    <row r="48" spans="1:11" x14ac:dyDescent="0.35">
      <c r="A48" t="s">
        <v>55</v>
      </c>
      <c r="B48" s="1">
        <v>45725</v>
      </c>
      <c r="C48" t="s">
        <v>264</v>
      </c>
      <c r="D48" t="s">
        <v>423</v>
      </c>
      <c r="E48" t="s">
        <v>432</v>
      </c>
      <c r="F48" t="s">
        <v>433</v>
      </c>
      <c r="G48" t="s">
        <v>436</v>
      </c>
      <c r="H48" t="s">
        <v>441</v>
      </c>
      <c r="I48" t="s">
        <v>442</v>
      </c>
      <c r="J48" s="5" t="str">
        <f t="shared" ca="1" si="1"/>
        <v>3+ Months Ago</v>
      </c>
      <c r="K48" s="6">
        <f t="shared" ca="1" si="0"/>
        <v>3</v>
      </c>
    </row>
    <row r="49" spans="1:11" x14ac:dyDescent="0.35">
      <c r="A49" t="s">
        <v>56</v>
      </c>
      <c r="B49" s="1">
        <v>45761</v>
      </c>
      <c r="C49" t="s">
        <v>265</v>
      </c>
      <c r="D49" t="s">
        <v>426</v>
      </c>
      <c r="E49" t="s">
        <v>428</v>
      </c>
      <c r="F49" t="s">
        <v>433</v>
      </c>
      <c r="G49" t="s">
        <v>437</v>
      </c>
      <c r="H49" t="s">
        <v>439</v>
      </c>
      <c r="I49" t="s">
        <v>442</v>
      </c>
      <c r="J49" s="5" t="str">
        <f t="shared" ca="1" si="1"/>
        <v>3+ Months Ago</v>
      </c>
      <c r="K49" s="6">
        <f t="shared" ca="1" si="0"/>
        <v>3</v>
      </c>
    </row>
    <row r="50" spans="1:11" x14ac:dyDescent="0.35">
      <c r="A50" t="s">
        <v>57</v>
      </c>
      <c r="B50" s="1">
        <v>45779</v>
      </c>
      <c r="C50" t="s">
        <v>266</v>
      </c>
      <c r="D50" t="s">
        <v>426</v>
      </c>
      <c r="E50" t="s">
        <v>431</v>
      </c>
      <c r="F50" t="s">
        <v>434</v>
      </c>
      <c r="G50" t="s">
        <v>435</v>
      </c>
      <c r="H50" t="s">
        <v>441</v>
      </c>
      <c r="I50" t="s">
        <v>443</v>
      </c>
      <c r="J50" s="5" t="str">
        <f t="shared" ca="1" si="1"/>
        <v>3+ Months Ago</v>
      </c>
      <c r="K50" s="6">
        <f t="shared" ca="1" si="0"/>
        <v>3</v>
      </c>
    </row>
    <row r="51" spans="1:11" x14ac:dyDescent="0.35">
      <c r="A51" t="s">
        <v>58</v>
      </c>
      <c r="B51" s="1">
        <v>45712</v>
      </c>
      <c r="C51" t="s">
        <v>267</v>
      </c>
      <c r="D51" t="s">
        <v>424</v>
      </c>
      <c r="E51" t="s">
        <v>431</v>
      </c>
      <c r="F51" t="s">
        <v>433</v>
      </c>
      <c r="G51" t="s">
        <v>435</v>
      </c>
      <c r="H51" t="s">
        <v>441</v>
      </c>
      <c r="I51" t="s">
        <v>442</v>
      </c>
      <c r="J51" s="5" t="str">
        <f t="shared" ca="1" si="1"/>
        <v>3+ Months Ago</v>
      </c>
      <c r="K51" s="6">
        <f t="shared" ca="1" si="0"/>
        <v>3</v>
      </c>
    </row>
    <row r="52" spans="1:11" x14ac:dyDescent="0.35">
      <c r="A52" t="s">
        <v>59</v>
      </c>
      <c r="B52" s="1">
        <v>45809</v>
      </c>
      <c r="C52" t="s">
        <v>269</v>
      </c>
      <c r="D52" t="s">
        <v>425</v>
      </c>
      <c r="E52" t="s">
        <v>429</v>
      </c>
      <c r="F52" t="s">
        <v>433</v>
      </c>
      <c r="G52" t="s">
        <v>436</v>
      </c>
      <c r="H52" t="s">
        <v>440</v>
      </c>
      <c r="I52" t="s">
        <v>442</v>
      </c>
      <c r="J52" s="5" t="str">
        <f t="shared" ca="1" si="1"/>
        <v>3+ Months Ago</v>
      </c>
      <c r="K52" s="6">
        <f t="shared" ca="1" si="0"/>
        <v>3</v>
      </c>
    </row>
    <row r="53" spans="1:11" x14ac:dyDescent="0.35">
      <c r="A53" t="s">
        <v>60</v>
      </c>
      <c r="B53" s="1">
        <v>45849</v>
      </c>
      <c r="C53" t="s">
        <v>270</v>
      </c>
      <c r="D53" t="s">
        <v>427</v>
      </c>
      <c r="E53" t="s">
        <v>430</v>
      </c>
      <c r="F53" t="s">
        <v>434</v>
      </c>
      <c r="G53" t="s">
        <v>436</v>
      </c>
      <c r="H53" t="s">
        <v>440</v>
      </c>
      <c r="I53" t="s">
        <v>443</v>
      </c>
      <c r="J53" s="5" t="str">
        <f t="shared" ca="1" si="1"/>
        <v>3+ Months Ago</v>
      </c>
      <c r="K53" s="6">
        <f t="shared" ca="1" si="0"/>
        <v>3</v>
      </c>
    </row>
    <row r="54" spans="1:11" x14ac:dyDescent="0.35">
      <c r="A54" t="s">
        <v>61</v>
      </c>
      <c r="B54" s="1">
        <v>45724</v>
      </c>
      <c r="C54" t="s">
        <v>271</v>
      </c>
      <c r="D54" t="s">
        <v>426</v>
      </c>
      <c r="E54" t="s">
        <v>429</v>
      </c>
      <c r="F54" t="s">
        <v>433</v>
      </c>
      <c r="G54" t="s">
        <v>438</v>
      </c>
      <c r="H54" t="s">
        <v>439</v>
      </c>
      <c r="I54" t="s">
        <v>442</v>
      </c>
      <c r="J54" s="5" t="str">
        <f t="shared" ca="1" si="1"/>
        <v>3+ Months Ago</v>
      </c>
      <c r="K54" s="6">
        <f t="shared" ca="1" si="0"/>
        <v>3</v>
      </c>
    </row>
    <row r="55" spans="1:11" x14ac:dyDescent="0.35">
      <c r="A55" t="s">
        <v>62</v>
      </c>
      <c r="B55" s="1">
        <v>45698</v>
      </c>
      <c r="C55" t="s">
        <v>272</v>
      </c>
      <c r="D55" t="s">
        <v>423</v>
      </c>
      <c r="E55" t="s">
        <v>428</v>
      </c>
      <c r="F55" t="s">
        <v>433</v>
      </c>
      <c r="G55" t="s">
        <v>438</v>
      </c>
      <c r="H55" t="s">
        <v>441</v>
      </c>
      <c r="I55" t="s">
        <v>442</v>
      </c>
      <c r="J55" s="5" t="str">
        <f t="shared" ca="1" si="1"/>
        <v>3+ Months Ago</v>
      </c>
      <c r="K55" s="6">
        <f t="shared" ca="1" si="0"/>
        <v>3</v>
      </c>
    </row>
    <row r="56" spans="1:11" x14ac:dyDescent="0.35">
      <c r="A56" t="s">
        <v>63</v>
      </c>
      <c r="B56" s="1">
        <v>45851</v>
      </c>
      <c r="C56" t="s">
        <v>273</v>
      </c>
      <c r="D56" t="s">
        <v>426</v>
      </c>
      <c r="E56" t="s">
        <v>429</v>
      </c>
      <c r="F56" t="s">
        <v>433</v>
      </c>
      <c r="G56" t="s">
        <v>437</v>
      </c>
      <c r="H56" t="s">
        <v>439</v>
      </c>
      <c r="I56" t="s">
        <v>442</v>
      </c>
      <c r="J56" s="5" t="str">
        <f t="shared" ca="1" si="1"/>
        <v>3+ Months Ago</v>
      </c>
      <c r="K56" s="6">
        <f t="shared" ca="1" si="0"/>
        <v>3</v>
      </c>
    </row>
    <row r="57" spans="1:11" x14ac:dyDescent="0.35">
      <c r="A57" t="s">
        <v>64</v>
      </c>
      <c r="B57" s="1">
        <v>45781</v>
      </c>
      <c r="C57" t="s">
        <v>274</v>
      </c>
      <c r="D57" t="s">
        <v>423</v>
      </c>
      <c r="E57" t="s">
        <v>432</v>
      </c>
      <c r="F57" t="s">
        <v>434</v>
      </c>
      <c r="G57" t="s">
        <v>435</v>
      </c>
      <c r="H57" t="s">
        <v>441</v>
      </c>
      <c r="I57" t="s">
        <v>443</v>
      </c>
      <c r="J57" s="5" t="str">
        <f t="shared" ca="1" si="1"/>
        <v>3+ Months Ago</v>
      </c>
      <c r="K57" s="6">
        <f t="shared" ca="1" si="0"/>
        <v>3</v>
      </c>
    </row>
    <row r="58" spans="1:11" x14ac:dyDescent="0.35">
      <c r="A58" t="s">
        <v>65</v>
      </c>
      <c r="B58" s="1">
        <v>45751</v>
      </c>
      <c r="C58" t="s">
        <v>275</v>
      </c>
      <c r="D58" t="s">
        <v>423</v>
      </c>
      <c r="E58" t="s">
        <v>430</v>
      </c>
      <c r="F58" t="s">
        <v>433</v>
      </c>
      <c r="G58" t="s">
        <v>437</v>
      </c>
      <c r="H58" t="s">
        <v>441</v>
      </c>
      <c r="I58" t="s">
        <v>442</v>
      </c>
      <c r="J58" s="5" t="str">
        <f t="shared" ca="1" si="1"/>
        <v>3+ Months Ago</v>
      </c>
      <c r="K58" s="6">
        <f t="shared" ca="1" si="0"/>
        <v>3</v>
      </c>
    </row>
    <row r="59" spans="1:11" x14ac:dyDescent="0.35">
      <c r="A59" t="s">
        <v>66</v>
      </c>
      <c r="B59" s="1">
        <v>45846</v>
      </c>
      <c r="C59" t="s">
        <v>276</v>
      </c>
      <c r="D59" t="s">
        <v>425</v>
      </c>
      <c r="E59" t="s">
        <v>428</v>
      </c>
      <c r="F59" t="s">
        <v>433</v>
      </c>
      <c r="G59" t="s">
        <v>438</v>
      </c>
      <c r="H59" t="s">
        <v>440</v>
      </c>
      <c r="I59" t="s">
        <v>442</v>
      </c>
      <c r="J59" s="5" t="str">
        <f t="shared" ca="1" si="1"/>
        <v>3+ Months Ago</v>
      </c>
      <c r="K59" s="6">
        <f t="shared" ca="1" si="0"/>
        <v>3</v>
      </c>
    </row>
    <row r="60" spans="1:11" x14ac:dyDescent="0.35">
      <c r="A60" t="s">
        <v>67</v>
      </c>
      <c r="B60" s="1">
        <v>45851</v>
      </c>
      <c r="C60" t="s">
        <v>277</v>
      </c>
      <c r="D60" t="s">
        <v>425</v>
      </c>
      <c r="E60" t="s">
        <v>431</v>
      </c>
      <c r="F60" t="s">
        <v>433</v>
      </c>
      <c r="G60" t="s">
        <v>438</v>
      </c>
      <c r="H60" t="s">
        <v>439</v>
      </c>
      <c r="I60" t="s">
        <v>442</v>
      </c>
      <c r="J60" s="5" t="str">
        <f t="shared" ca="1" si="1"/>
        <v>3+ Months Ago</v>
      </c>
      <c r="K60" s="6">
        <f t="shared" ca="1" si="0"/>
        <v>3</v>
      </c>
    </row>
    <row r="61" spans="1:11" x14ac:dyDescent="0.35">
      <c r="A61" t="s">
        <v>68</v>
      </c>
      <c r="B61" s="1">
        <v>45824</v>
      </c>
      <c r="C61" t="s">
        <v>278</v>
      </c>
      <c r="D61" t="s">
        <v>427</v>
      </c>
      <c r="E61" t="s">
        <v>431</v>
      </c>
      <c r="F61" t="s">
        <v>434</v>
      </c>
      <c r="G61" t="s">
        <v>437</v>
      </c>
      <c r="H61" t="s">
        <v>439</v>
      </c>
      <c r="I61" t="s">
        <v>443</v>
      </c>
      <c r="J61" s="5" t="str">
        <f t="shared" ca="1" si="1"/>
        <v>3+ Months Ago</v>
      </c>
      <c r="K61" s="6">
        <f t="shared" ca="1" si="0"/>
        <v>3</v>
      </c>
    </row>
    <row r="62" spans="1:11" x14ac:dyDescent="0.35">
      <c r="A62" t="s">
        <v>69</v>
      </c>
      <c r="B62" s="1">
        <v>45840</v>
      </c>
      <c r="C62" t="s">
        <v>279</v>
      </c>
      <c r="D62" t="s">
        <v>423</v>
      </c>
      <c r="E62" t="s">
        <v>430</v>
      </c>
      <c r="F62" t="s">
        <v>433</v>
      </c>
      <c r="G62" t="s">
        <v>438</v>
      </c>
      <c r="H62" t="s">
        <v>439</v>
      </c>
      <c r="I62" t="s">
        <v>442</v>
      </c>
      <c r="J62" s="5" t="str">
        <f t="shared" ca="1" si="1"/>
        <v>3+ Months Ago</v>
      </c>
      <c r="K62" s="6">
        <f t="shared" ca="1" si="0"/>
        <v>3</v>
      </c>
    </row>
    <row r="63" spans="1:11" x14ac:dyDescent="0.35">
      <c r="A63" t="s">
        <v>70</v>
      </c>
      <c r="B63" s="1">
        <v>45711</v>
      </c>
      <c r="C63" t="s">
        <v>280</v>
      </c>
      <c r="D63" t="s">
        <v>425</v>
      </c>
      <c r="E63" t="s">
        <v>429</v>
      </c>
      <c r="F63" t="s">
        <v>434</v>
      </c>
      <c r="G63" t="s">
        <v>435</v>
      </c>
      <c r="H63" t="s">
        <v>440</v>
      </c>
      <c r="I63" t="s">
        <v>443</v>
      </c>
      <c r="J63" s="5" t="str">
        <f t="shared" ca="1" si="1"/>
        <v>3+ Months Ago</v>
      </c>
      <c r="K63" s="6">
        <f t="shared" ca="1" si="0"/>
        <v>3</v>
      </c>
    </row>
    <row r="64" spans="1:11" x14ac:dyDescent="0.35">
      <c r="A64" t="s">
        <v>71</v>
      </c>
      <c r="B64" s="1">
        <v>45695</v>
      </c>
      <c r="C64" t="s">
        <v>281</v>
      </c>
      <c r="D64" t="s">
        <v>425</v>
      </c>
      <c r="E64" t="s">
        <v>430</v>
      </c>
      <c r="F64" t="s">
        <v>434</v>
      </c>
      <c r="G64" t="s">
        <v>435</v>
      </c>
      <c r="H64" t="s">
        <v>440</v>
      </c>
      <c r="I64" t="s">
        <v>443</v>
      </c>
      <c r="J64" s="5" t="str">
        <f t="shared" ca="1" si="1"/>
        <v>3+ Months Ago</v>
      </c>
      <c r="K64" s="6">
        <f t="shared" ca="1" si="0"/>
        <v>3</v>
      </c>
    </row>
    <row r="65" spans="1:11" x14ac:dyDescent="0.35">
      <c r="A65" t="s">
        <v>72</v>
      </c>
      <c r="B65" s="1">
        <v>45750</v>
      </c>
      <c r="C65" t="s">
        <v>282</v>
      </c>
      <c r="D65" t="s">
        <v>423</v>
      </c>
      <c r="E65" t="s">
        <v>430</v>
      </c>
      <c r="F65" t="s">
        <v>434</v>
      </c>
      <c r="G65" t="s">
        <v>435</v>
      </c>
      <c r="H65" t="s">
        <v>440</v>
      </c>
      <c r="I65" t="s">
        <v>443</v>
      </c>
      <c r="J65" s="5" t="str">
        <f t="shared" ca="1" si="1"/>
        <v>3+ Months Ago</v>
      </c>
      <c r="K65" s="6">
        <f t="shared" ca="1" si="0"/>
        <v>3</v>
      </c>
    </row>
    <row r="66" spans="1:11" x14ac:dyDescent="0.35">
      <c r="A66" t="s">
        <v>73</v>
      </c>
      <c r="B66" s="1">
        <v>45833</v>
      </c>
      <c r="C66" t="s">
        <v>283</v>
      </c>
      <c r="D66" t="s">
        <v>423</v>
      </c>
      <c r="E66" t="s">
        <v>429</v>
      </c>
      <c r="F66" t="s">
        <v>433</v>
      </c>
      <c r="G66" t="s">
        <v>436</v>
      </c>
      <c r="H66" t="s">
        <v>439</v>
      </c>
      <c r="I66" t="s">
        <v>442</v>
      </c>
      <c r="J66" s="5" t="str">
        <f t="shared" ca="1" si="1"/>
        <v>3+ Months Ago</v>
      </c>
      <c r="K66" s="6">
        <f t="shared" ref="K66:K129" ca="1" si="2">IF(J66="Within last 30 Days",1, IF(J66="1-2 Months Ago",2, IF(J66="3+ Months Ago",3,"")))</f>
        <v>3</v>
      </c>
    </row>
    <row r="67" spans="1:11" x14ac:dyDescent="0.35">
      <c r="A67" t="s">
        <v>74</v>
      </c>
      <c r="B67" s="1">
        <v>45790</v>
      </c>
      <c r="C67" t="s">
        <v>284</v>
      </c>
      <c r="D67" t="s">
        <v>424</v>
      </c>
      <c r="E67" t="s">
        <v>428</v>
      </c>
      <c r="F67" t="s">
        <v>433</v>
      </c>
      <c r="G67" t="s">
        <v>437</v>
      </c>
      <c r="H67" t="s">
        <v>441</v>
      </c>
      <c r="I67" t="s">
        <v>442</v>
      </c>
      <c r="J67" s="5" t="str">
        <f t="shared" ref="J67:J130" ca="1" si="3">IF(TODAY()-B67&lt;=30, "Within last 30 Days", IF(TODAY()-B67&lt;=60, "1-2 Months Ago", "3+ Months Ago"))</f>
        <v>3+ Months Ago</v>
      </c>
      <c r="K67" s="6">
        <f t="shared" ca="1" si="2"/>
        <v>3</v>
      </c>
    </row>
    <row r="68" spans="1:11" x14ac:dyDescent="0.35">
      <c r="A68" t="s">
        <v>75</v>
      </c>
      <c r="B68" s="1">
        <v>45688</v>
      </c>
      <c r="C68" t="s">
        <v>285</v>
      </c>
      <c r="D68" t="s">
        <v>426</v>
      </c>
      <c r="E68" t="s">
        <v>428</v>
      </c>
      <c r="F68" t="s">
        <v>433</v>
      </c>
      <c r="G68" t="s">
        <v>437</v>
      </c>
      <c r="H68" t="s">
        <v>441</v>
      </c>
      <c r="I68" t="s">
        <v>442</v>
      </c>
      <c r="J68" s="5" t="str">
        <f t="shared" ca="1" si="3"/>
        <v>3+ Months Ago</v>
      </c>
      <c r="K68" s="6">
        <f t="shared" ca="1" si="2"/>
        <v>3</v>
      </c>
    </row>
    <row r="69" spans="1:11" x14ac:dyDescent="0.35">
      <c r="A69" t="s">
        <v>76</v>
      </c>
      <c r="B69" s="1">
        <v>45767</v>
      </c>
      <c r="C69" t="s">
        <v>286</v>
      </c>
      <c r="D69" t="s">
        <v>425</v>
      </c>
      <c r="E69" t="s">
        <v>428</v>
      </c>
      <c r="F69" t="s">
        <v>434</v>
      </c>
      <c r="G69" t="s">
        <v>435</v>
      </c>
      <c r="H69" t="s">
        <v>440</v>
      </c>
      <c r="I69" t="s">
        <v>443</v>
      </c>
      <c r="J69" s="5" t="str">
        <f t="shared" ca="1" si="3"/>
        <v>3+ Months Ago</v>
      </c>
      <c r="K69" s="6">
        <f t="shared" ca="1" si="2"/>
        <v>3</v>
      </c>
    </row>
    <row r="70" spans="1:11" x14ac:dyDescent="0.35">
      <c r="A70" t="s">
        <v>77</v>
      </c>
      <c r="B70" s="1">
        <v>45703</v>
      </c>
      <c r="C70" t="s">
        <v>287</v>
      </c>
      <c r="D70" t="s">
        <v>425</v>
      </c>
      <c r="E70" t="s">
        <v>431</v>
      </c>
      <c r="F70" t="s">
        <v>433</v>
      </c>
      <c r="G70" t="s">
        <v>437</v>
      </c>
      <c r="H70" t="s">
        <v>439</v>
      </c>
      <c r="I70" t="s">
        <v>442</v>
      </c>
      <c r="J70" s="5" t="str">
        <f t="shared" ca="1" si="3"/>
        <v>3+ Months Ago</v>
      </c>
      <c r="K70" s="6">
        <f t="shared" ca="1" si="2"/>
        <v>3</v>
      </c>
    </row>
    <row r="71" spans="1:11" x14ac:dyDescent="0.35">
      <c r="A71" t="s">
        <v>78</v>
      </c>
      <c r="B71" s="1">
        <v>45683</v>
      </c>
      <c r="C71" t="s">
        <v>288</v>
      </c>
      <c r="D71" t="s">
        <v>427</v>
      </c>
      <c r="E71" t="s">
        <v>428</v>
      </c>
      <c r="F71" t="s">
        <v>433</v>
      </c>
      <c r="G71" t="s">
        <v>437</v>
      </c>
      <c r="H71" t="s">
        <v>439</v>
      </c>
      <c r="I71" t="s">
        <v>442</v>
      </c>
      <c r="J71" s="5" t="str">
        <f t="shared" ca="1" si="3"/>
        <v>3+ Months Ago</v>
      </c>
      <c r="K71" s="6">
        <f t="shared" ca="1" si="2"/>
        <v>3</v>
      </c>
    </row>
    <row r="72" spans="1:11" x14ac:dyDescent="0.35">
      <c r="A72" t="s">
        <v>79</v>
      </c>
      <c r="B72" s="1">
        <v>45805</v>
      </c>
      <c r="C72" t="s">
        <v>289</v>
      </c>
      <c r="D72" t="s">
        <v>427</v>
      </c>
      <c r="E72" t="s">
        <v>431</v>
      </c>
      <c r="F72" t="s">
        <v>434</v>
      </c>
      <c r="G72" t="s">
        <v>435</v>
      </c>
      <c r="H72" t="s">
        <v>439</v>
      </c>
      <c r="I72" t="s">
        <v>443</v>
      </c>
      <c r="J72" s="5" t="str">
        <f t="shared" ca="1" si="3"/>
        <v>3+ Months Ago</v>
      </c>
      <c r="K72" s="6">
        <f t="shared" ca="1" si="2"/>
        <v>3</v>
      </c>
    </row>
    <row r="73" spans="1:11" x14ac:dyDescent="0.35">
      <c r="A73" t="s">
        <v>80</v>
      </c>
      <c r="B73" s="1">
        <v>45847</v>
      </c>
      <c r="C73" t="s">
        <v>290</v>
      </c>
      <c r="D73" t="s">
        <v>423</v>
      </c>
      <c r="E73" t="s">
        <v>428</v>
      </c>
      <c r="F73" t="s">
        <v>433</v>
      </c>
      <c r="G73" t="s">
        <v>435</v>
      </c>
      <c r="H73" t="s">
        <v>440</v>
      </c>
      <c r="I73" t="s">
        <v>442</v>
      </c>
      <c r="J73" s="5" t="str">
        <f t="shared" ca="1" si="3"/>
        <v>3+ Months Ago</v>
      </c>
      <c r="K73" s="6">
        <f t="shared" ca="1" si="2"/>
        <v>3</v>
      </c>
    </row>
    <row r="74" spans="1:11" x14ac:dyDescent="0.35">
      <c r="A74" t="s">
        <v>81</v>
      </c>
      <c r="B74" s="1">
        <v>45763</v>
      </c>
      <c r="C74" t="s">
        <v>291</v>
      </c>
      <c r="D74" t="s">
        <v>426</v>
      </c>
      <c r="E74" t="s">
        <v>430</v>
      </c>
      <c r="F74" t="s">
        <v>434</v>
      </c>
      <c r="G74" t="s">
        <v>438</v>
      </c>
      <c r="H74" t="s">
        <v>440</v>
      </c>
      <c r="I74" t="s">
        <v>443</v>
      </c>
      <c r="J74" s="5" t="str">
        <f t="shared" ca="1" si="3"/>
        <v>3+ Months Ago</v>
      </c>
      <c r="K74" s="6">
        <f t="shared" ca="1" si="2"/>
        <v>3</v>
      </c>
    </row>
    <row r="75" spans="1:11" x14ac:dyDescent="0.35">
      <c r="A75" t="s">
        <v>82</v>
      </c>
      <c r="B75" s="1">
        <v>45763</v>
      </c>
      <c r="C75" t="s">
        <v>292</v>
      </c>
      <c r="D75" t="s">
        <v>425</v>
      </c>
      <c r="E75" t="s">
        <v>429</v>
      </c>
      <c r="F75" t="s">
        <v>433</v>
      </c>
      <c r="G75" t="s">
        <v>436</v>
      </c>
      <c r="H75" t="s">
        <v>440</v>
      </c>
      <c r="I75" t="s">
        <v>442</v>
      </c>
      <c r="J75" s="5" t="str">
        <f t="shared" ca="1" si="3"/>
        <v>3+ Months Ago</v>
      </c>
      <c r="K75" s="6">
        <f t="shared" ca="1" si="2"/>
        <v>3</v>
      </c>
    </row>
    <row r="76" spans="1:11" x14ac:dyDescent="0.35">
      <c r="A76" t="s">
        <v>83</v>
      </c>
      <c r="B76" s="1">
        <v>45794</v>
      </c>
      <c r="C76" t="s">
        <v>293</v>
      </c>
      <c r="D76" t="s">
        <v>423</v>
      </c>
      <c r="E76" t="s">
        <v>428</v>
      </c>
      <c r="F76" t="s">
        <v>434</v>
      </c>
      <c r="G76" t="s">
        <v>435</v>
      </c>
      <c r="H76" t="s">
        <v>441</v>
      </c>
      <c r="I76" t="s">
        <v>443</v>
      </c>
      <c r="J76" s="5" t="str">
        <f t="shared" ca="1" si="3"/>
        <v>3+ Months Ago</v>
      </c>
      <c r="K76" s="6">
        <f t="shared" ca="1" si="2"/>
        <v>3</v>
      </c>
    </row>
    <row r="77" spans="1:11" x14ac:dyDescent="0.35">
      <c r="A77" t="s">
        <v>84</v>
      </c>
      <c r="B77" s="1">
        <v>45702</v>
      </c>
      <c r="C77" t="s">
        <v>294</v>
      </c>
      <c r="D77" t="s">
        <v>425</v>
      </c>
      <c r="E77" t="s">
        <v>429</v>
      </c>
      <c r="F77" t="s">
        <v>433</v>
      </c>
      <c r="G77" t="s">
        <v>435</v>
      </c>
      <c r="H77" t="s">
        <v>439</v>
      </c>
      <c r="I77" t="s">
        <v>442</v>
      </c>
      <c r="J77" s="5" t="str">
        <f t="shared" ca="1" si="3"/>
        <v>3+ Months Ago</v>
      </c>
      <c r="K77" s="6">
        <f t="shared" ca="1" si="2"/>
        <v>3</v>
      </c>
    </row>
    <row r="78" spans="1:11" x14ac:dyDescent="0.35">
      <c r="A78" t="s">
        <v>85</v>
      </c>
      <c r="B78" s="1">
        <v>45815</v>
      </c>
      <c r="C78" t="s">
        <v>295</v>
      </c>
      <c r="D78" t="s">
        <v>427</v>
      </c>
      <c r="E78" t="s">
        <v>431</v>
      </c>
      <c r="F78" t="s">
        <v>433</v>
      </c>
      <c r="G78" t="s">
        <v>438</v>
      </c>
      <c r="H78" t="s">
        <v>440</v>
      </c>
      <c r="I78" t="s">
        <v>442</v>
      </c>
      <c r="J78" s="5" t="str">
        <f t="shared" ca="1" si="3"/>
        <v>3+ Months Ago</v>
      </c>
      <c r="K78" s="6">
        <f t="shared" ca="1" si="2"/>
        <v>3</v>
      </c>
    </row>
    <row r="79" spans="1:11" x14ac:dyDescent="0.35">
      <c r="A79" t="s">
        <v>86</v>
      </c>
      <c r="B79" s="1">
        <v>45850</v>
      </c>
      <c r="C79" t="s">
        <v>296</v>
      </c>
      <c r="D79" t="s">
        <v>427</v>
      </c>
      <c r="E79" t="s">
        <v>429</v>
      </c>
      <c r="F79" t="s">
        <v>433</v>
      </c>
      <c r="G79" t="s">
        <v>438</v>
      </c>
      <c r="H79" t="s">
        <v>441</v>
      </c>
      <c r="I79" t="s">
        <v>442</v>
      </c>
      <c r="J79" s="5" t="str">
        <f t="shared" ca="1" si="3"/>
        <v>3+ Months Ago</v>
      </c>
      <c r="K79" s="6">
        <f t="shared" ca="1" si="2"/>
        <v>3</v>
      </c>
    </row>
    <row r="80" spans="1:11" x14ac:dyDescent="0.35">
      <c r="A80" t="s">
        <v>87</v>
      </c>
      <c r="B80" s="1">
        <v>45677</v>
      </c>
      <c r="C80" t="s">
        <v>297</v>
      </c>
      <c r="D80" t="s">
        <v>424</v>
      </c>
      <c r="E80" t="s">
        <v>428</v>
      </c>
      <c r="F80" t="s">
        <v>434</v>
      </c>
      <c r="G80" t="s">
        <v>436</v>
      </c>
      <c r="H80" t="s">
        <v>441</v>
      </c>
      <c r="I80" t="s">
        <v>443</v>
      </c>
      <c r="J80" s="5" t="str">
        <f t="shared" ca="1" si="3"/>
        <v>3+ Months Ago</v>
      </c>
      <c r="K80" s="6">
        <f t="shared" ca="1" si="2"/>
        <v>3</v>
      </c>
    </row>
    <row r="81" spans="1:11" x14ac:dyDescent="0.35">
      <c r="A81" t="s">
        <v>88</v>
      </c>
      <c r="B81" s="1">
        <v>45736</v>
      </c>
      <c r="C81" t="s">
        <v>298</v>
      </c>
      <c r="D81" t="s">
        <v>426</v>
      </c>
      <c r="E81" t="s">
        <v>432</v>
      </c>
      <c r="F81" t="s">
        <v>433</v>
      </c>
      <c r="G81" t="s">
        <v>438</v>
      </c>
      <c r="H81" t="s">
        <v>440</v>
      </c>
      <c r="I81" t="s">
        <v>442</v>
      </c>
      <c r="J81" s="5" t="str">
        <f t="shared" ca="1" si="3"/>
        <v>3+ Months Ago</v>
      </c>
      <c r="K81" s="6">
        <f t="shared" ca="1" si="2"/>
        <v>3</v>
      </c>
    </row>
    <row r="82" spans="1:11" x14ac:dyDescent="0.35">
      <c r="A82" t="s">
        <v>89</v>
      </c>
      <c r="B82" s="1">
        <v>45743</v>
      </c>
      <c r="C82" t="s">
        <v>299</v>
      </c>
      <c r="D82" t="s">
        <v>427</v>
      </c>
      <c r="E82" t="s">
        <v>429</v>
      </c>
      <c r="F82" t="s">
        <v>433</v>
      </c>
      <c r="G82" t="s">
        <v>435</v>
      </c>
      <c r="H82" t="s">
        <v>441</v>
      </c>
      <c r="I82" t="s">
        <v>442</v>
      </c>
      <c r="J82" s="5" t="str">
        <f t="shared" ca="1" si="3"/>
        <v>3+ Months Ago</v>
      </c>
      <c r="K82" s="6">
        <f t="shared" ca="1" si="2"/>
        <v>3</v>
      </c>
    </row>
    <row r="83" spans="1:11" x14ac:dyDescent="0.35">
      <c r="A83" t="s">
        <v>90</v>
      </c>
      <c r="B83" s="1">
        <v>45816</v>
      </c>
      <c r="C83" t="s">
        <v>300</v>
      </c>
      <c r="D83" t="s">
        <v>426</v>
      </c>
      <c r="E83" t="s">
        <v>430</v>
      </c>
      <c r="F83" t="s">
        <v>434</v>
      </c>
      <c r="G83" t="s">
        <v>437</v>
      </c>
      <c r="H83" t="s">
        <v>441</v>
      </c>
      <c r="I83" t="s">
        <v>443</v>
      </c>
      <c r="J83" s="5" t="str">
        <f t="shared" ca="1" si="3"/>
        <v>3+ Months Ago</v>
      </c>
      <c r="K83" s="6">
        <f t="shared" ca="1" si="2"/>
        <v>3</v>
      </c>
    </row>
    <row r="84" spans="1:11" x14ac:dyDescent="0.35">
      <c r="A84" t="s">
        <v>91</v>
      </c>
      <c r="B84" s="1">
        <v>45786</v>
      </c>
      <c r="C84" t="s">
        <v>301</v>
      </c>
      <c r="D84" t="s">
        <v>426</v>
      </c>
      <c r="E84" t="s">
        <v>431</v>
      </c>
      <c r="F84" t="s">
        <v>434</v>
      </c>
      <c r="G84" t="s">
        <v>438</v>
      </c>
      <c r="H84" t="s">
        <v>439</v>
      </c>
      <c r="I84" t="s">
        <v>443</v>
      </c>
      <c r="J84" s="5" t="str">
        <f t="shared" ca="1" si="3"/>
        <v>3+ Months Ago</v>
      </c>
      <c r="K84" s="6">
        <f t="shared" ca="1" si="2"/>
        <v>3</v>
      </c>
    </row>
    <row r="85" spans="1:11" x14ac:dyDescent="0.35">
      <c r="A85" t="s">
        <v>92</v>
      </c>
      <c r="B85" s="1">
        <v>45818</v>
      </c>
      <c r="C85" t="s">
        <v>302</v>
      </c>
      <c r="D85" t="s">
        <v>427</v>
      </c>
      <c r="E85" t="s">
        <v>431</v>
      </c>
      <c r="F85" t="s">
        <v>433</v>
      </c>
      <c r="G85" t="s">
        <v>437</v>
      </c>
      <c r="H85" t="s">
        <v>439</v>
      </c>
      <c r="I85" t="s">
        <v>442</v>
      </c>
      <c r="J85" s="5" t="str">
        <f t="shared" ca="1" si="3"/>
        <v>3+ Months Ago</v>
      </c>
      <c r="K85" s="6">
        <f t="shared" ca="1" si="2"/>
        <v>3</v>
      </c>
    </row>
    <row r="86" spans="1:11" x14ac:dyDescent="0.35">
      <c r="A86" t="s">
        <v>93</v>
      </c>
      <c r="B86" s="1">
        <v>45847</v>
      </c>
      <c r="C86" t="s">
        <v>303</v>
      </c>
      <c r="D86" t="s">
        <v>424</v>
      </c>
      <c r="E86" t="s">
        <v>428</v>
      </c>
      <c r="F86" t="s">
        <v>433</v>
      </c>
      <c r="G86" t="s">
        <v>435</v>
      </c>
      <c r="H86" t="s">
        <v>441</v>
      </c>
      <c r="I86" t="s">
        <v>442</v>
      </c>
      <c r="J86" s="5" t="str">
        <f t="shared" ca="1" si="3"/>
        <v>3+ Months Ago</v>
      </c>
      <c r="K86" s="6">
        <f t="shared" ca="1" si="2"/>
        <v>3</v>
      </c>
    </row>
    <row r="87" spans="1:11" x14ac:dyDescent="0.35">
      <c r="A87" t="s">
        <v>94</v>
      </c>
      <c r="B87" s="1">
        <v>45690</v>
      </c>
      <c r="C87" t="s">
        <v>304</v>
      </c>
      <c r="D87" t="s">
        <v>424</v>
      </c>
      <c r="E87" t="s">
        <v>431</v>
      </c>
      <c r="F87" t="s">
        <v>433</v>
      </c>
      <c r="G87" t="s">
        <v>435</v>
      </c>
      <c r="H87" t="s">
        <v>440</v>
      </c>
      <c r="I87" t="s">
        <v>442</v>
      </c>
      <c r="J87" s="5" t="str">
        <f t="shared" ca="1" si="3"/>
        <v>3+ Months Ago</v>
      </c>
      <c r="K87" s="6">
        <f t="shared" ca="1" si="2"/>
        <v>3</v>
      </c>
    </row>
    <row r="88" spans="1:11" x14ac:dyDescent="0.35">
      <c r="A88" t="s">
        <v>95</v>
      </c>
      <c r="B88" s="1">
        <v>45823</v>
      </c>
      <c r="C88" t="s">
        <v>305</v>
      </c>
      <c r="D88" t="s">
        <v>427</v>
      </c>
      <c r="E88" t="s">
        <v>429</v>
      </c>
      <c r="F88" t="s">
        <v>433</v>
      </c>
      <c r="G88" t="s">
        <v>437</v>
      </c>
      <c r="H88" t="s">
        <v>440</v>
      </c>
      <c r="I88" t="s">
        <v>442</v>
      </c>
      <c r="J88" s="5" t="str">
        <f t="shared" ca="1" si="3"/>
        <v>3+ Months Ago</v>
      </c>
      <c r="K88" s="6">
        <f t="shared" ca="1" si="2"/>
        <v>3</v>
      </c>
    </row>
    <row r="89" spans="1:11" x14ac:dyDescent="0.35">
      <c r="A89" t="s">
        <v>96</v>
      </c>
      <c r="B89" s="1">
        <v>45730</v>
      </c>
      <c r="C89" t="s">
        <v>306</v>
      </c>
      <c r="D89" t="s">
        <v>427</v>
      </c>
      <c r="E89" t="s">
        <v>432</v>
      </c>
      <c r="F89" t="s">
        <v>433</v>
      </c>
      <c r="G89" t="s">
        <v>437</v>
      </c>
      <c r="H89" t="s">
        <v>441</v>
      </c>
      <c r="I89" t="s">
        <v>442</v>
      </c>
      <c r="J89" s="5" t="str">
        <f t="shared" ca="1" si="3"/>
        <v>3+ Months Ago</v>
      </c>
      <c r="K89" s="6">
        <f t="shared" ca="1" si="2"/>
        <v>3</v>
      </c>
    </row>
    <row r="90" spans="1:11" x14ac:dyDescent="0.35">
      <c r="A90" t="s">
        <v>97</v>
      </c>
      <c r="B90" s="1">
        <v>45843</v>
      </c>
      <c r="C90" t="s">
        <v>307</v>
      </c>
      <c r="D90" t="s">
        <v>423</v>
      </c>
      <c r="E90" t="s">
        <v>430</v>
      </c>
      <c r="F90" t="s">
        <v>433</v>
      </c>
      <c r="G90" t="s">
        <v>437</v>
      </c>
      <c r="H90" t="s">
        <v>441</v>
      </c>
      <c r="I90" t="s">
        <v>442</v>
      </c>
      <c r="J90" s="5" t="str">
        <f t="shared" ca="1" si="3"/>
        <v>3+ Months Ago</v>
      </c>
      <c r="K90" s="6">
        <f t="shared" ca="1" si="2"/>
        <v>3</v>
      </c>
    </row>
    <row r="91" spans="1:11" x14ac:dyDescent="0.35">
      <c r="A91" t="s">
        <v>98</v>
      </c>
      <c r="B91" s="1">
        <v>45711</v>
      </c>
      <c r="C91" t="s">
        <v>308</v>
      </c>
      <c r="D91" t="s">
        <v>426</v>
      </c>
      <c r="E91" t="s">
        <v>429</v>
      </c>
      <c r="F91" t="s">
        <v>433</v>
      </c>
      <c r="G91" t="s">
        <v>437</v>
      </c>
      <c r="H91" t="s">
        <v>441</v>
      </c>
      <c r="I91" t="s">
        <v>442</v>
      </c>
      <c r="J91" s="5" t="str">
        <f t="shared" ca="1" si="3"/>
        <v>3+ Months Ago</v>
      </c>
      <c r="K91" s="6">
        <f t="shared" ca="1" si="2"/>
        <v>3</v>
      </c>
    </row>
    <row r="92" spans="1:11" x14ac:dyDescent="0.35">
      <c r="A92" t="s">
        <v>99</v>
      </c>
      <c r="B92" s="1">
        <v>45851</v>
      </c>
      <c r="C92" t="s">
        <v>309</v>
      </c>
      <c r="D92" t="s">
        <v>425</v>
      </c>
      <c r="E92" t="s">
        <v>430</v>
      </c>
      <c r="F92" t="s">
        <v>433</v>
      </c>
      <c r="G92" t="s">
        <v>436</v>
      </c>
      <c r="H92" t="s">
        <v>440</v>
      </c>
      <c r="I92" t="s">
        <v>442</v>
      </c>
      <c r="J92" s="5" t="str">
        <f t="shared" ca="1" si="3"/>
        <v>3+ Months Ago</v>
      </c>
      <c r="K92" s="6">
        <f t="shared" ca="1" si="2"/>
        <v>3</v>
      </c>
    </row>
    <row r="93" spans="1:11" x14ac:dyDescent="0.35">
      <c r="A93" t="s">
        <v>100</v>
      </c>
      <c r="B93" s="1">
        <v>45791</v>
      </c>
      <c r="C93" t="s">
        <v>310</v>
      </c>
      <c r="D93" t="s">
        <v>425</v>
      </c>
      <c r="E93" t="s">
        <v>429</v>
      </c>
      <c r="F93" t="s">
        <v>433</v>
      </c>
      <c r="G93" t="s">
        <v>438</v>
      </c>
      <c r="H93" t="s">
        <v>441</v>
      </c>
      <c r="I93" t="s">
        <v>442</v>
      </c>
      <c r="J93" s="5" t="str">
        <f t="shared" ca="1" si="3"/>
        <v>3+ Months Ago</v>
      </c>
      <c r="K93" s="6">
        <f t="shared" ca="1" si="2"/>
        <v>3</v>
      </c>
    </row>
    <row r="94" spans="1:11" x14ac:dyDescent="0.35">
      <c r="A94" t="s">
        <v>101</v>
      </c>
      <c r="B94" s="1">
        <v>45804</v>
      </c>
      <c r="C94" t="s">
        <v>311</v>
      </c>
      <c r="D94" t="s">
        <v>423</v>
      </c>
      <c r="E94" t="s">
        <v>428</v>
      </c>
      <c r="F94" t="s">
        <v>433</v>
      </c>
      <c r="G94" t="s">
        <v>436</v>
      </c>
      <c r="H94" t="s">
        <v>440</v>
      </c>
      <c r="I94" t="s">
        <v>442</v>
      </c>
      <c r="J94" s="5" t="str">
        <f t="shared" ca="1" si="3"/>
        <v>3+ Months Ago</v>
      </c>
      <c r="K94" s="6">
        <f t="shared" ca="1" si="2"/>
        <v>3</v>
      </c>
    </row>
    <row r="95" spans="1:11" x14ac:dyDescent="0.35">
      <c r="A95" t="s">
        <v>102</v>
      </c>
      <c r="B95" s="1">
        <v>45846</v>
      </c>
      <c r="C95" t="s">
        <v>312</v>
      </c>
      <c r="D95" t="s">
        <v>427</v>
      </c>
      <c r="E95" t="s">
        <v>429</v>
      </c>
      <c r="F95" t="s">
        <v>434</v>
      </c>
      <c r="G95" t="s">
        <v>437</v>
      </c>
      <c r="H95" t="s">
        <v>441</v>
      </c>
      <c r="I95" t="s">
        <v>443</v>
      </c>
      <c r="J95" s="5" t="str">
        <f t="shared" ca="1" si="3"/>
        <v>3+ Months Ago</v>
      </c>
      <c r="K95" s="6">
        <f t="shared" ca="1" si="2"/>
        <v>3</v>
      </c>
    </row>
    <row r="96" spans="1:11" x14ac:dyDescent="0.35">
      <c r="A96" t="s">
        <v>103</v>
      </c>
      <c r="B96" s="1">
        <v>45776</v>
      </c>
      <c r="C96" t="s">
        <v>313</v>
      </c>
      <c r="D96" t="s">
        <v>424</v>
      </c>
      <c r="E96" t="s">
        <v>431</v>
      </c>
      <c r="F96" t="s">
        <v>433</v>
      </c>
      <c r="G96" t="s">
        <v>437</v>
      </c>
      <c r="H96" t="s">
        <v>439</v>
      </c>
      <c r="I96" t="s">
        <v>442</v>
      </c>
      <c r="J96" s="5" t="str">
        <f t="shared" ca="1" si="3"/>
        <v>3+ Months Ago</v>
      </c>
      <c r="K96" s="6">
        <f t="shared" ca="1" si="2"/>
        <v>3</v>
      </c>
    </row>
    <row r="97" spans="1:11" x14ac:dyDescent="0.35">
      <c r="A97" t="s">
        <v>104</v>
      </c>
      <c r="B97" s="1">
        <v>45708</v>
      </c>
      <c r="C97" t="s">
        <v>314</v>
      </c>
      <c r="D97" t="s">
        <v>423</v>
      </c>
      <c r="E97" t="s">
        <v>431</v>
      </c>
      <c r="F97" t="s">
        <v>433</v>
      </c>
      <c r="G97" t="s">
        <v>438</v>
      </c>
      <c r="H97" t="s">
        <v>439</v>
      </c>
      <c r="I97" t="s">
        <v>442</v>
      </c>
      <c r="J97" s="5" t="str">
        <f t="shared" ca="1" si="3"/>
        <v>3+ Months Ago</v>
      </c>
      <c r="K97" s="6">
        <f t="shared" ca="1" si="2"/>
        <v>3</v>
      </c>
    </row>
    <row r="98" spans="1:11" x14ac:dyDescent="0.35">
      <c r="A98" t="s">
        <v>105</v>
      </c>
      <c r="B98" s="1">
        <v>45791</v>
      </c>
      <c r="C98" t="s">
        <v>315</v>
      </c>
      <c r="D98" t="s">
        <v>426</v>
      </c>
      <c r="E98" t="s">
        <v>429</v>
      </c>
      <c r="F98" t="s">
        <v>433</v>
      </c>
      <c r="G98" t="s">
        <v>437</v>
      </c>
      <c r="H98" t="s">
        <v>440</v>
      </c>
      <c r="I98" t="s">
        <v>442</v>
      </c>
      <c r="J98" s="5" t="str">
        <f t="shared" ca="1" si="3"/>
        <v>3+ Months Ago</v>
      </c>
      <c r="K98" s="6">
        <f t="shared" ca="1" si="2"/>
        <v>3</v>
      </c>
    </row>
    <row r="99" spans="1:11" x14ac:dyDescent="0.35">
      <c r="A99" t="s">
        <v>106</v>
      </c>
      <c r="B99" s="1">
        <v>45840</v>
      </c>
      <c r="C99" t="s">
        <v>316</v>
      </c>
      <c r="D99" t="s">
        <v>427</v>
      </c>
      <c r="E99" t="s">
        <v>428</v>
      </c>
      <c r="F99" t="s">
        <v>433</v>
      </c>
      <c r="G99" t="s">
        <v>437</v>
      </c>
      <c r="H99" t="s">
        <v>441</v>
      </c>
      <c r="I99" t="s">
        <v>442</v>
      </c>
      <c r="J99" s="5" t="str">
        <f t="shared" ca="1" si="3"/>
        <v>3+ Months Ago</v>
      </c>
      <c r="K99" s="6">
        <f t="shared" ca="1" si="2"/>
        <v>3</v>
      </c>
    </row>
    <row r="100" spans="1:11" x14ac:dyDescent="0.35">
      <c r="A100" t="s">
        <v>107</v>
      </c>
      <c r="B100" s="1">
        <v>45726</v>
      </c>
      <c r="C100" t="s">
        <v>317</v>
      </c>
      <c r="D100" t="s">
        <v>423</v>
      </c>
      <c r="E100" t="s">
        <v>432</v>
      </c>
      <c r="F100" t="s">
        <v>434</v>
      </c>
      <c r="G100" t="s">
        <v>437</v>
      </c>
      <c r="H100" t="s">
        <v>439</v>
      </c>
      <c r="I100" t="s">
        <v>443</v>
      </c>
      <c r="J100" s="5" t="str">
        <f t="shared" ca="1" si="3"/>
        <v>3+ Months Ago</v>
      </c>
      <c r="K100" s="6">
        <f t="shared" ca="1" si="2"/>
        <v>3</v>
      </c>
    </row>
    <row r="101" spans="1:11" x14ac:dyDescent="0.35">
      <c r="A101" t="s">
        <v>108</v>
      </c>
      <c r="B101" s="1">
        <v>45804</v>
      </c>
      <c r="C101" t="s">
        <v>318</v>
      </c>
      <c r="D101" t="s">
        <v>424</v>
      </c>
      <c r="E101" t="s">
        <v>428</v>
      </c>
      <c r="F101" t="s">
        <v>433</v>
      </c>
      <c r="G101" t="s">
        <v>436</v>
      </c>
      <c r="H101" t="s">
        <v>441</v>
      </c>
      <c r="I101" t="s">
        <v>442</v>
      </c>
      <c r="J101" s="5" t="str">
        <f t="shared" ca="1" si="3"/>
        <v>3+ Months Ago</v>
      </c>
      <c r="K101" s="6">
        <f t="shared" ca="1" si="2"/>
        <v>3</v>
      </c>
    </row>
    <row r="102" spans="1:11" x14ac:dyDescent="0.35">
      <c r="A102" t="s">
        <v>109</v>
      </c>
      <c r="B102" s="1">
        <v>45779</v>
      </c>
      <c r="C102" t="s">
        <v>319</v>
      </c>
      <c r="D102" t="s">
        <v>427</v>
      </c>
      <c r="E102" t="s">
        <v>432</v>
      </c>
      <c r="F102" t="s">
        <v>433</v>
      </c>
      <c r="G102" t="s">
        <v>437</v>
      </c>
      <c r="H102" t="s">
        <v>440</v>
      </c>
      <c r="I102" t="s">
        <v>442</v>
      </c>
      <c r="J102" s="5" t="str">
        <f t="shared" ca="1" si="3"/>
        <v>3+ Months Ago</v>
      </c>
      <c r="K102" s="6">
        <f t="shared" ca="1" si="2"/>
        <v>3</v>
      </c>
    </row>
    <row r="103" spans="1:11" x14ac:dyDescent="0.35">
      <c r="A103" t="s">
        <v>110</v>
      </c>
      <c r="B103" s="1">
        <v>45730</v>
      </c>
      <c r="C103" t="s">
        <v>320</v>
      </c>
      <c r="D103" t="s">
        <v>425</v>
      </c>
      <c r="E103" t="s">
        <v>428</v>
      </c>
      <c r="F103" t="s">
        <v>434</v>
      </c>
      <c r="G103" t="s">
        <v>436</v>
      </c>
      <c r="H103" t="s">
        <v>441</v>
      </c>
      <c r="I103" t="s">
        <v>443</v>
      </c>
      <c r="J103" s="5" t="str">
        <f t="shared" ca="1" si="3"/>
        <v>3+ Months Ago</v>
      </c>
      <c r="K103" s="6">
        <f t="shared" ca="1" si="2"/>
        <v>3</v>
      </c>
    </row>
    <row r="104" spans="1:11" x14ac:dyDescent="0.35">
      <c r="A104" t="s">
        <v>111</v>
      </c>
      <c r="B104" s="1">
        <v>45751</v>
      </c>
      <c r="C104" t="s">
        <v>321</v>
      </c>
      <c r="D104" t="s">
        <v>427</v>
      </c>
      <c r="E104" t="s">
        <v>432</v>
      </c>
      <c r="F104" t="s">
        <v>433</v>
      </c>
      <c r="G104" t="s">
        <v>436</v>
      </c>
      <c r="H104" t="s">
        <v>441</v>
      </c>
      <c r="I104" t="s">
        <v>442</v>
      </c>
      <c r="J104" s="5" t="str">
        <f t="shared" ca="1" si="3"/>
        <v>3+ Months Ago</v>
      </c>
      <c r="K104" s="6">
        <f t="shared" ca="1" si="2"/>
        <v>3</v>
      </c>
    </row>
    <row r="105" spans="1:11" x14ac:dyDescent="0.35">
      <c r="A105" t="s">
        <v>112</v>
      </c>
      <c r="B105" s="1">
        <v>45721</v>
      </c>
      <c r="C105" t="s">
        <v>322</v>
      </c>
      <c r="D105" t="s">
        <v>424</v>
      </c>
      <c r="E105" t="s">
        <v>429</v>
      </c>
      <c r="F105" t="s">
        <v>433</v>
      </c>
      <c r="G105" t="s">
        <v>435</v>
      </c>
      <c r="H105" t="s">
        <v>441</v>
      </c>
      <c r="I105" t="s">
        <v>442</v>
      </c>
      <c r="J105" s="5" t="str">
        <f t="shared" ca="1" si="3"/>
        <v>3+ Months Ago</v>
      </c>
      <c r="K105" s="6">
        <f t="shared" ca="1" si="2"/>
        <v>3</v>
      </c>
    </row>
    <row r="106" spans="1:11" x14ac:dyDescent="0.35">
      <c r="A106" t="s">
        <v>113</v>
      </c>
      <c r="B106" s="1">
        <v>45771</v>
      </c>
      <c r="C106" t="s">
        <v>323</v>
      </c>
      <c r="D106" t="s">
        <v>426</v>
      </c>
      <c r="E106" t="s">
        <v>428</v>
      </c>
      <c r="F106" t="s">
        <v>433</v>
      </c>
      <c r="G106" t="s">
        <v>435</v>
      </c>
      <c r="H106" t="s">
        <v>439</v>
      </c>
      <c r="I106" t="s">
        <v>442</v>
      </c>
      <c r="J106" s="5" t="str">
        <f t="shared" ca="1" si="3"/>
        <v>3+ Months Ago</v>
      </c>
      <c r="K106" s="6">
        <f t="shared" ca="1" si="2"/>
        <v>3</v>
      </c>
    </row>
    <row r="107" spans="1:11" x14ac:dyDescent="0.35">
      <c r="A107" t="s">
        <v>114</v>
      </c>
      <c r="B107" s="1">
        <v>45716</v>
      </c>
      <c r="C107" t="s">
        <v>324</v>
      </c>
      <c r="D107" t="s">
        <v>426</v>
      </c>
      <c r="E107" t="s">
        <v>428</v>
      </c>
      <c r="F107" t="s">
        <v>434</v>
      </c>
      <c r="G107" t="s">
        <v>436</v>
      </c>
      <c r="H107" t="s">
        <v>439</v>
      </c>
      <c r="I107" t="s">
        <v>443</v>
      </c>
      <c r="J107" s="5" t="str">
        <f t="shared" ca="1" si="3"/>
        <v>3+ Months Ago</v>
      </c>
      <c r="K107" s="6">
        <f t="shared" ca="1" si="2"/>
        <v>3</v>
      </c>
    </row>
    <row r="108" spans="1:11" x14ac:dyDescent="0.35">
      <c r="A108" t="s">
        <v>115</v>
      </c>
      <c r="B108" s="1">
        <v>45703</v>
      </c>
      <c r="C108" t="s">
        <v>325</v>
      </c>
      <c r="D108" t="s">
        <v>424</v>
      </c>
      <c r="E108" t="s">
        <v>428</v>
      </c>
      <c r="F108" t="s">
        <v>434</v>
      </c>
      <c r="G108" t="s">
        <v>435</v>
      </c>
      <c r="H108" t="s">
        <v>440</v>
      </c>
      <c r="I108" t="s">
        <v>443</v>
      </c>
      <c r="J108" s="5" t="str">
        <f t="shared" ca="1" si="3"/>
        <v>3+ Months Ago</v>
      </c>
      <c r="K108" s="6">
        <f t="shared" ca="1" si="2"/>
        <v>3</v>
      </c>
    </row>
    <row r="109" spans="1:11" x14ac:dyDescent="0.35">
      <c r="A109" t="s">
        <v>116</v>
      </c>
      <c r="B109" s="1">
        <v>45826</v>
      </c>
      <c r="C109" t="s">
        <v>326</v>
      </c>
      <c r="D109" t="s">
        <v>425</v>
      </c>
      <c r="E109" t="s">
        <v>432</v>
      </c>
      <c r="F109" t="s">
        <v>433</v>
      </c>
      <c r="G109" t="s">
        <v>437</v>
      </c>
      <c r="H109" t="s">
        <v>441</v>
      </c>
      <c r="I109" t="s">
        <v>442</v>
      </c>
      <c r="J109" s="5" t="str">
        <f t="shared" ca="1" si="3"/>
        <v>3+ Months Ago</v>
      </c>
      <c r="K109" s="6">
        <f t="shared" ca="1" si="2"/>
        <v>3</v>
      </c>
    </row>
    <row r="110" spans="1:11" x14ac:dyDescent="0.35">
      <c r="A110" t="s">
        <v>117</v>
      </c>
      <c r="B110" s="1">
        <v>45695</v>
      </c>
      <c r="C110" t="s">
        <v>327</v>
      </c>
      <c r="D110" t="s">
        <v>427</v>
      </c>
      <c r="E110" t="s">
        <v>428</v>
      </c>
      <c r="F110" t="s">
        <v>433</v>
      </c>
      <c r="G110" t="s">
        <v>437</v>
      </c>
      <c r="H110" t="s">
        <v>439</v>
      </c>
      <c r="I110" t="s">
        <v>442</v>
      </c>
      <c r="J110" s="5" t="str">
        <f t="shared" ca="1" si="3"/>
        <v>3+ Months Ago</v>
      </c>
      <c r="K110" s="6">
        <f t="shared" ca="1" si="2"/>
        <v>3</v>
      </c>
    </row>
    <row r="111" spans="1:11" x14ac:dyDescent="0.35">
      <c r="A111" t="s">
        <v>118</v>
      </c>
      <c r="B111" s="1">
        <v>45724</v>
      </c>
      <c r="C111" t="s">
        <v>328</v>
      </c>
      <c r="D111" t="s">
        <v>423</v>
      </c>
      <c r="E111" t="s">
        <v>432</v>
      </c>
      <c r="F111" t="s">
        <v>433</v>
      </c>
      <c r="G111" t="s">
        <v>435</v>
      </c>
      <c r="H111" t="s">
        <v>441</v>
      </c>
      <c r="I111" t="s">
        <v>442</v>
      </c>
      <c r="J111" s="5" t="str">
        <f t="shared" ca="1" si="3"/>
        <v>3+ Months Ago</v>
      </c>
      <c r="K111" s="6">
        <f t="shared" ca="1" si="2"/>
        <v>3</v>
      </c>
    </row>
    <row r="112" spans="1:11" x14ac:dyDescent="0.35">
      <c r="A112" t="s">
        <v>119</v>
      </c>
      <c r="B112" s="1">
        <v>45816</v>
      </c>
      <c r="C112" t="s">
        <v>329</v>
      </c>
      <c r="D112" t="s">
        <v>427</v>
      </c>
      <c r="E112" t="s">
        <v>428</v>
      </c>
      <c r="F112" t="s">
        <v>434</v>
      </c>
      <c r="G112" t="s">
        <v>436</v>
      </c>
      <c r="H112" t="s">
        <v>439</v>
      </c>
      <c r="I112" t="s">
        <v>443</v>
      </c>
      <c r="J112" s="5" t="str">
        <f t="shared" ca="1" si="3"/>
        <v>3+ Months Ago</v>
      </c>
      <c r="K112" s="6">
        <f t="shared" ca="1" si="2"/>
        <v>3</v>
      </c>
    </row>
    <row r="113" spans="1:11" x14ac:dyDescent="0.35">
      <c r="A113" t="s">
        <v>120</v>
      </c>
      <c r="B113" s="1">
        <v>45836</v>
      </c>
      <c r="C113" t="s">
        <v>330</v>
      </c>
      <c r="D113" t="s">
        <v>424</v>
      </c>
      <c r="E113" t="s">
        <v>431</v>
      </c>
      <c r="F113" t="s">
        <v>433</v>
      </c>
      <c r="G113" t="s">
        <v>436</v>
      </c>
      <c r="H113" t="s">
        <v>440</v>
      </c>
      <c r="I113" t="s">
        <v>442</v>
      </c>
      <c r="J113" s="5" t="str">
        <f t="shared" ca="1" si="3"/>
        <v>3+ Months Ago</v>
      </c>
      <c r="K113" s="6">
        <f t="shared" ca="1" si="2"/>
        <v>3</v>
      </c>
    </row>
    <row r="114" spans="1:11" x14ac:dyDescent="0.35">
      <c r="A114" t="s">
        <v>121</v>
      </c>
      <c r="B114" s="1">
        <v>45694</v>
      </c>
      <c r="C114" t="s">
        <v>331</v>
      </c>
      <c r="D114" t="s">
        <v>426</v>
      </c>
      <c r="E114" t="s">
        <v>431</v>
      </c>
      <c r="F114" t="s">
        <v>433</v>
      </c>
      <c r="G114" t="s">
        <v>438</v>
      </c>
      <c r="H114" t="s">
        <v>439</v>
      </c>
      <c r="I114" t="s">
        <v>442</v>
      </c>
      <c r="J114" s="5" t="str">
        <f t="shared" ca="1" si="3"/>
        <v>3+ Months Ago</v>
      </c>
      <c r="K114" s="6">
        <f t="shared" ca="1" si="2"/>
        <v>3</v>
      </c>
    </row>
    <row r="115" spans="1:11" x14ac:dyDescent="0.35">
      <c r="A115" t="s">
        <v>122</v>
      </c>
      <c r="B115" s="1">
        <v>45682</v>
      </c>
      <c r="C115" t="s">
        <v>332</v>
      </c>
      <c r="D115" t="s">
        <v>426</v>
      </c>
      <c r="E115" t="s">
        <v>432</v>
      </c>
      <c r="F115" t="s">
        <v>433</v>
      </c>
      <c r="G115" t="s">
        <v>437</v>
      </c>
      <c r="H115" t="s">
        <v>440</v>
      </c>
      <c r="I115" t="s">
        <v>442</v>
      </c>
      <c r="J115" s="5" t="str">
        <f t="shared" ca="1" si="3"/>
        <v>3+ Months Ago</v>
      </c>
      <c r="K115" s="6">
        <f t="shared" ca="1" si="2"/>
        <v>3</v>
      </c>
    </row>
    <row r="116" spans="1:11" x14ac:dyDescent="0.35">
      <c r="A116" t="s">
        <v>123</v>
      </c>
      <c r="B116" s="1">
        <v>45797</v>
      </c>
      <c r="C116" t="s">
        <v>256</v>
      </c>
      <c r="D116" t="s">
        <v>425</v>
      </c>
      <c r="E116" t="s">
        <v>430</v>
      </c>
      <c r="F116" t="s">
        <v>433</v>
      </c>
      <c r="G116" t="s">
        <v>436</v>
      </c>
      <c r="H116" t="s">
        <v>440</v>
      </c>
      <c r="I116" t="s">
        <v>442</v>
      </c>
      <c r="J116" s="5" t="str">
        <f t="shared" ca="1" si="3"/>
        <v>3+ Months Ago</v>
      </c>
      <c r="K116" s="6">
        <f t="shared" ca="1" si="2"/>
        <v>3</v>
      </c>
    </row>
    <row r="117" spans="1:11" x14ac:dyDescent="0.35">
      <c r="A117" t="s">
        <v>124</v>
      </c>
      <c r="B117" s="1">
        <v>45745</v>
      </c>
      <c r="C117" t="s">
        <v>333</v>
      </c>
      <c r="D117" t="s">
        <v>426</v>
      </c>
      <c r="E117" t="s">
        <v>429</v>
      </c>
      <c r="F117" t="s">
        <v>433</v>
      </c>
      <c r="G117" t="s">
        <v>435</v>
      </c>
      <c r="H117" t="s">
        <v>439</v>
      </c>
      <c r="I117" t="s">
        <v>442</v>
      </c>
      <c r="J117" s="5" t="str">
        <f t="shared" ca="1" si="3"/>
        <v>3+ Months Ago</v>
      </c>
      <c r="K117" s="6">
        <f t="shared" ca="1" si="2"/>
        <v>3</v>
      </c>
    </row>
    <row r="118" spans="1:11" x14ac:dyDescent="0.35">
      <c r="A118" t="s">
        <v>125</v>
      </c>
      <c r="B118" s="1">
        <v>45682</v>
      </c>
      <c r="C118" t="s">
        <v>334</v>
      </c>
      <c r="D118" t="s">
        <v>427</v>
      </c>
      <c r="E118" t="s">
        <v>429</v>
      </c>
      <c r="F118" t="s">
        <v>433</v>
      </c>
      <c r="G118" t="s">
        <v>437</v>
      </c>
      <c r="H118" t="s">
        <v>439</v>
      </c>
      <c r="I118" t="s">
        <v>442</v>
      </c>
      <c r="J118" s="5" t="str">
        <f t="shared" ca="1" si="3"/>
        <v>3+ Months Ago</v>
      </c>
      <c r="K118" s="6">
        <f t="shared" ca="1" si="2"/>
        <v>3</v>
      </c>
    </row>
    <row r="119" spans="1:11" x14ac:dyDescent="0.35">
      <c r="A119" t="s">
        <v>126</v>
      </c>
      <c r="B119" s="1">
        <v>45760</v>
      </c>
      <c r="C119" t="s">
        <v>335</v>
      </c>
      <c r="D119" t="s">
        <v>426</v>
      </c>
      <c r="E119" t="s">
        <v>428</v>
      </c>
      <c r="F119" t="s">
        <v>433</v>
      </c>
      <c r="G119" t="s">
        <v>438</v>
      </c>
      <c r="H119" t="s">
        <v>440</v>
      </c>
      <c r="I119" t="s">
        <v>442</v>
      </c>
      <c r="J119" s="5" t="str">
        <f t="shared" ca="1" si="3"/>
        <v>3+ Months Ago</v>
      </c>
      <c r="K119" s="6">
        <f t="shared" ca="1" si="2"/>
        <v>3</v>
      </c>
    </row>
    <row r="120" spans="1:11" x14ac:dyDescent="0.35">
      <c r="A120" t="s">
        <v>127</v>
      </c>
      <c r="B120" s="1">
        <v>45803</v>
      </c>
      <c r="C120" t="s">
        <v>336</v>
      </c>
      <c r="D120" t="s">
        <v>424</v>
      </c>
      <c r="E120" t="s">
        <v>429</v>
      </c>
      <c r="F120" t="s">
        <v>433</v>
      </c>
      <c r="G120" t="s">
        <v>438</v>
      </c>
      <c r="H120" t="s">
        <v>439</v>
      </c>
      <c r="I120" t="s">
        <v>442</v>
      </c>
      <c r="J120" s="5" t="str">
        <f t="shared" ca="1" si="3"/>
        <v>3+ Months Ago</v>
      </c>
      <c r="K120" s="6">
        <f t="shared" ca="1" si="2"/>
        <v>3</v>
      </c>
    </row>
    <row r="121" spans="1:11" x14ac:dyDescent="0.35">
      <c r="A121" t="s">
        <v>128</v>
      </c>
      <c r="B121" s="1">
        <v>45837</v>
      </c>
      <c r="C121" t="s">
        <v>337</v>
      </c>
      <c r="D121" t="s">
        <v>423</v>
      </c>
      <c r="E121" t="s">
        <v>430</v>
      </c>
      <c r="F121" t="s">
        <v>433</v>
      </c>
      <c r="G121" t="s">
        <v>438</v>
      </c>
      <c r="H121" t="s">
        <v>439</v>
      </c>
      <c r="I121" t="s">
        <v>442</v>
      </c>
      <c r="J121" s="5" t="str">
        <f t="shared" ca="1" si="3"/>
        <v>3+ Months Ago</v>
      </c>
      <c r="K121" s="6">
        <f t="shared" ca="1" si="2"/>
        <v>3</v>
      </c>
    </row>
    <row r="122" spans="1:11" x14ac:dyDescent="0.35">
      <c r="A122" t="s">
        <v>129</v>
      </c>
      <c r="B122" s="1">
        <v>45703</v>
      </c>
      <c r="C122" t="s">
        <v>338</v>
      </c>
      <c r="D122" t="s">
        <v>423</v>
      </c>
      <c r="E122" t="s">
        <v>429</v>
      </c>
      <c r="F122" t="s">
        <v>433</v>
      </c>
      <c r="G122" t="s">
        <v>435</v>
      </c>
      <c r="H122" t="s">
        <v>439</v>
      </c>
      <c r="I122" t="s">
        <v>442</v>
      </c>
      <c r="J122" s="5" t="str">
        <f t="shared" ca="1" si="3"/>
        <v>3+ Months Ago</v>
      </c>
      <c r="K122" s="6">
        <f t="shared" ca="1" si="2"/>
        <v>3</v>
      </c>
    </row>
    <row r="123" spans="1:11" x14ac:dyDescent="0.35">
      <c r="A123" t="s">
        <v>130</v>
      </c>
      <c r="B123" s="1">
        <v>45819</v>
      </c>
      <c r="C123" t="s">
        <v>339</v>
      </c>
      <c r="D123" t="s">
        <v>423</v>
      </c>
      <c r="E123" t="s">
        <v>432</v>
      </c>
      <c r="F123" t="s">
        <v>433</v>
      </c>
      <c r="G123" t="s">
        <v>436</v>
      </c>
      <c r="H123" t="s">
        <v>441</v>
      </c>
      <c r="I123" t="s">
        <v>442</v>
      </c>
      <c r="J123" s="5" t="str">
        <f t="shared" ca="1" si="3"/>
        <v>3+ Months Ago</v>
      </c>
      <c r="K123" s="6">
        <f t="shared" ca="1" si="2"/>
        <v>3</v>
      </c>
    </row>
    <row r="124" spans="1:11" x14ac:dyDescent="0.35">
      <c r="A124" t="s">
        <v>131</v>
      </c>
      <c r="B124" s="1">
        <v>45715</v>
      </c>
      <c r="C124" t="s">
        <v>340</v>
      </c>
      <c r="D124" t="s">
        <v>423</v>
      </c>
      <c r="E124" t="s">
        <v>428</v>
      </c>
      <c r="F124" t="s">
        <v>433</v>
      </c>
      <c r="G124" t="s">
        <v>436</v>
      </c>
      <c r="H124" t="s">
        <v>440</v>
      </c>
      <c r="I124" t="s">
        <v>442</v>
      </c>
      <c r="J124" s="5" t="str">
        <f t="shared" ca="1" si="3"/>
        <v>3+ Months Ago</v>
      </c>
      <c r="K124" s="6">
        <f t="shared" ca="1" si="2"/>
        <v>3</v>
      </c>
    </row>
    <row r="125" spans="1:11" x14ac:dyDescent="0.35">
      <c r="A125" t="s">
        <v>132</v>
      </c>
      <c r="B125" s="1">
        <v>45845</v>
      </c>
      <c r="C125" t="s">
        <v>341</v>
      </c>
      <c r="D125" t="s">
        <v>423</v>
      </c>
      <c r="E125" t="s">
        <v>432</v>
      </c>
      <c r="F125" t="s">
        <v>433</v>
      </c>
      <c r="G125" t="s">
        <v>435</v>
      </c>
      <c r="H125" t="s">
        <v>440</v>
      </c>
      <c r="I125" t="s">
        <v>442</v>
      </c>
      <c r="J125" s="5" t="str">
        <f t="shared" ca="1" si="3"/>
        <v>3+ Months Ago</v>
      </c>
      <c r="K125" s="6">
        <f t="shared" ca="1" si="2"/>
        <v>3</v>
      </c>
    </row>
    <row r="126" spans="1:11" x14ac:dyDescent="0.35">
      <c r="A126" t="s">
        <v>133</v>
      </c>
      <c r="B126" s="1">
        <v>45738</v>
      </c>
      <c r="C126" t="s">
        <v>342</v>
      </c>
      <c r="D126" t="s">
        <v>427</v>
      </c>
      <c r="E126" t="s">
        <v>431</v>
      </c>
      <c r="F126" t="s">
        <v>433</v>
      </c>
      <c r="G126" t="s">
        <v>435</v>
      </c>
      <c r="H126" t="s">
        <v>439</v>
      </c>
      <c r="I126" t="s">
        <v>442</v>
      </c>
      <c r="J126" s="5" t="str">
        <f t="shared" ca="1" si="3"/>
        <v>3+ Months Ago</v>
      </c>
      <c r="K126" s="6">
        <f t="shared" ca="1" si="2"/>
        <v>3</v>
      </c>
    </row>
    <row r="127" spans="1:11" x14ac:dyDescent="0.35">
      <c r="A127" t="s">
        <v>134</v>
      </c>
      <c r="B127" s="1">
        <v>45713</v>
      </c>
      <c r="C127" t="s">
        <v>343</v>
      </c>
      <c r="D127" t="s">
        <v>427</v>
      </c>
      <c r="E127" t="s">
        <v>432</v>
      </c>
      <c r="F127" t="s">
        <v>434</v>
      </c>
      <c r="G127" t="s">
        <v>435</v>
      </c>
      <c r="H127" t="s">
        <v>441</v>
      </c>
      <c r="I127" t="s">
        <v>443</v>
      </c>
      <c r="J127" s="5" t="str">
        <f t="shared" ca="1" si="3"/>
        <v>3+ Months Ago</v>
      </c>
      <c r="K127" s="6">
        <f t="shared" ca="1" si="2"/>
        <v>3</v>
      </c>
    </row>
    <row r="128" spans="1:11" x14ac:dyDescent="0.35">
      <c r="A128" t="s">
        <v>135</v>
      </c>
      <c r="B128" s="1">
        <v>45720</v>
      </c>
      <c r="C128" t="s">
        <v>344</v>
      </c>
      <c r="D128" t="s">
        <v>424</v>
      </c>
      <c r="E128" t="s">
        <v>431</v>
      </c>
      <c r="F128" t="s">
        <v>433</v>
      </c>
      <c r="G128" t="s">
        <v>438</v>
      </c>
      <c r="H128" t="s">
        <v>439</v>
      </c>
      <c r="I128" t="s">
        <v>442</v>
      </c>
      <c r="J128" s="5" t="str">
        <f t="shared" ca="1" si="3"/>
        <v>3+ Months Ago</v>
      </c>
      <c r="K128" s="6">
        <f t="shared" ca="1" si="2"/>
        <v>3</v>
      </c>
    </row>
    <row r="129" spans="1:11" x14ac:dyDescent="0.35">
      <c r="A129" t="s">
        <v>136</v>
      </c>
      <c r="B129" s="1">
        <v>45735</v>
      </c>
      <c r="C129" t="s">
        <v>345</v>
      </c>
      <c r="D129" t="s">
        <v>426</v>
      </c>
      <c r="E129" t="s">
        <v>432</v>
      </c>
      <c r="F129" t="s">
        <v>434</v>
      </c>
      <c r="G129" t="s">
        <v>436</v>
      </c>
      <c r="H129" t="s">
        <v>439</v>
      </c>
      <c r="I129" t="s">
        <v>443</v>
      </c>
      <c r="J129" s="5" t="str">
        <f t="shared" ca="1" si="3"/>
        <v>3+ Months Ago</v>
      </c>
      <c r="K129" s="6">
        <f t="shared" ca="1" si="2"/>
        <v>3</v>
      </c>
    </row>
    <row r="130" spans="1:11" x14ac:dyDescent="0.35">
      <c r="A130" t="s">
        <v>137</v>
      </c>
      <c r="B130" s="1">
        <v>45827</v>
      </c>
      <c r="C130" t="s">
        <v>346</v>
      </c>
      <c r="D130" t="s">
        <v>424</v>
      </c>
      <c r="E130" t="s">
        <v>431</v>
      </c>
      <c r="F130" t="s">
        <v>433</v>
      </c>
      <c r="G130" t="s">
        <v>438</v>
      </c>
      <c r="H130" t="s">
        <v>441</v>
      </c>
      <c r="I130" t="s">
        <v>442</v>
      </c>
      <c r="J130" s="5" t="str">
        <f t="shared" ca="1" si="3"/>
        <v>3+ Months Ago</v>
      </c>
      <c r="K130" s="6">
        <f t="shared" ref="K130:K193" ca="1" si="4">IF(J130="Within last 30 Days",1, IF(J130="1-2 Months Ago",2, IF(J130="3+ Months Ago",3,"")))</f>
        <v>3</v>
      </c>
    </row>
    <row r="131" spans="1:11" x14ac:dyDescent="0.35">
      <c r="A131" t="s">
        <v>138</v>
      </c>
      <c r="B131" s="1">
        <v>45753</v>
      </c>
      <c r="C131" t="s">
        <v>347</v>
      </c>
      <c r="D131" t="s">
        <v>425</v>
      </c>
      <c r="E131" t="s">
        <v>428</v>
      </c>
      <c r="F131" t="s">
        <v>433</v>
      </c>
      <c r="G131" t="s">
        <v>436</v>
      </c>
      <c r="H131" t="s">
        <v>440</v>
      </c>
      <c r="I131" t="s">
        <v>442</v>
      </c>
      <c r="J131" s="5" t="str">
        <f t="shared" ref="J131:J194" ca="1" si="5">IF(TODAY()-B131&lt;=30, "Within last 30 Days", IF(TODAY()-B131&lt;=60, "1-2 Months Ago", "3+ Months Ago"))</f>
        <v>3+ Months Ago</v>
      </c>
      <c r="K131" s="6">
        <f t="shared" ca="1" si="4"/>
        <v>3</v>
      </c>
    </row>
    <row r="132" spans="1:11" x14ac:dyDescent="0.35">
      <c r="A132" t="s">
        <v>139</v>
      </c>
      <c r="B132" s="1">
        <v>45835</v>
      </c>
      <c r="C132" t="s">
        <v>348</v>
      </c>
      <c r="D132" t="s">
        <v>427</v>
      </c>
      <c r="E132" t="s">
        <v>430</v>
      </c>
      <c r="F132" t="s">
        <v>433</v>
      </c>
      <c r="G132" t="s">
        <v>436</v>
      </c>
      <c r="H132" t="s">
        <v>441</v>
      </c>
      <c r="I132" t="s">
        <v>442</v>
      </c>
      <c r="J132" s="5" t="str">
        <f t="shared" ca="1" si="5"/>
        <v>3+ Months Ago</v>
      </c>
      <c r="K132" s="6">
        <f t="shared" ca="1" si="4"/>
        <v>3</v>
      </c>
    </row>
    <row r="133" spans="1:11" x14ac:dyDescent="0.35">
      <c r="A133" t="s">
        <v>140</v>
      </c>
      <c r="B133" s="1">
        <v>45762</v>
      </c>
      <c r="C133" t="s">
        <v>349</v>
      </c>
      <c r="D133" t="s">
        <v>424</v>
      </c>
      <c r="E133" t="s">
        <v>431</v>
      </c>
      <c r="F133" t="s">
        <v>433</v>
      </c>
      <c r="G133" t="s">
        <v>435</v>
      </c>
      <c r="H133" t="s">
        <v>439</v>
      </c>
      <c r="I133" t="s">
        <v>442</v>
      </c>
      <c r="J133" s="5" t="str">
        <f t="shared" ca="1" si="5"/>
        <v>3+ Months Ago</v>
      </c>
      <c r="K133" s="6">
        <f t="shared" ca="1" si="4"/>
        <v>3</v>
      </c>
    </row>
    <row r="134" spans="1:11" x14ac:dyDescent="0.35">
      <c r="A134" t="s">
        <v>141</v>
      </c>
      <c r="B134" s="1">
        <v>45756</v>
      </c>
      <c r="C134" t="s">
        <v>350</v>
      </c>
      <c r="D134" t="s">
        <v>426</v>
      </c>
      <c r="E134" t="s">
        <v>429</v>
      </c>
      <c r="F134" t="s">
        <v>433</v>
      </c>
      <c r="G134" t="s">
        <v>435</v>
      </c>
      <c r="H134" t="s">
        <v>439</v>
      </c>
      <c r="I134" t="s">
        <v>442</v>
      </c>
      <c r="J134" s="5" t="str">
        <f t="shared" ca="1" si="5"/>
        <v>3+ Months Ago</v>
      </c>
      <c r="K134" s="6">
        <f t="shared" ca="1" si="4"/>
        <v>3</v>
      </c>
    </row>
    <row r="135" spans="1:11" x14ac:dyDescent="0.35">
      <c r="A135" t="s">
        <v>142</v>
      </c>
      <c r="B135" s="1">
        <v>45769</v>
      </c>
      <c r="C135" t="s">
        <v>351</v>
      </c>
      <c r="D135" t="s">
        <v>424</v>
      </c>
      <c r="E135" t="s">
        <v>428</v>
      </c>
      <c r="F135" t="s">
        <v>434</v>
      </c>
      <c r="G135" t="s">
        <v>437</v>
      </c>
      <c r="H135" t="s">
        <v>440</v>
      </c>
      <c r="I135" t="s">
        <v>443</v>
      </c>
      <c r="J135" s="5" t="str">
        <f t="shared" ca="1" si="5"/>
        <v>3+ Months Ago</v>
      </c>
      <c r="K135" s="6">
        <f t="shared" ca="1" si="4"/>
        <v>3</v>
      </c>
    </row>
    <row r="136" spans="1:11" x14ac:dyDescent="0.35">
      <c r="A136" t="s">
        <v>143</v>
      </c>
      <c r="B136" s="1">
        <v>45740</v>
      </c>
      <c r="C136" t="s">
        <v>352</v>
      </c>
      <c r="D136" t="s">
        <v>426</v>
      </c>
      <c r="E136" t="s">
        <v>429</v>
      </c>
      <c r="F136" t="s">
        <v>433</v>
      </c>
      <c r="G136" t="s">
        <v>436</v>
      </c>
      <c r="H136" t="s">
        <v>441</v>
      </c>
      <c r="I136" t="s">
        <v>442</v>
      </c>
      <c r="J136" s="5" t="str">
        <f t="shared" ca="1" si="5"/>
        <v>3+ Months Ago</v>
      </c>
      <c r="K136" s="6">
        <f t="shared" ca="1" si="4"/>
        <v>3</v>
      </c>
    </row>
    <row r="137" spans="1:11" x14ac:dyDescent="0.35">
      <c r="A137" t="s">
        <v>144</v>
      </c>
      <c r="B137" s="1">
        <v>45697</v>
      </c>
      <c r="C137" t="s">
        <v>353</v>
      </c>
      <c r="D137" t="s">
        <v>424</v>
      </c>
      <c r="E137" t="s">
        <v>432</v>
      </c>
      <c r="F137" t="s">
        <v>433</v>
      </c>
      <c r="G137" t="s">
        <v>437</v>
      </c>
      <c r="H137" t="s">
        <v>441</v>
      </c>
      <c r="I137" t="s">
        <v>442</v>
      </c>
      <c r="J137" s="5" t="str">
        <f t="shared" ca="1" si="5"/>
        <v>3+ Months Ago</v>
      </c>
      <c r="K137" s="6">
        <f t="shared" ca="1" si="4"/>
        <v>3</v>
      </c>
    </row>
    <row r="138" spans="1:11" x14ac:dyDescent="0.35">
      <c r="A138" t="s">
        <v>145</v>
      </c>
      <c r="B138" s="1">
        <v>45793</v>
      </c>
      <c r="C138" t="s">
        <v>354</v>
      </c>
      <c r="D138" t="s">
        <v>423</v>
      </c>
      <c r="E138" t="s">
        <v>430</v>
      </c>
      <c r="F138" t="s">
        <v>433</v>
      </c>
      <c r="G138" t="s">
        <v>436</v>
      </c>
      <c r="H138" t="s">
        <v>440</v>
      </c>
      <c r="I138" t="s">
        <v>442</v>
      </c>
      <c r="J138" s="5" t="str">
        <f t="shared" ca="1" si="5"/>
        <v>3+ Months Ago</v>
      </c>
      <c r="K138" s="6">
        <f t="shared" ca="1" si="4"/>
        <v>3</v>
      </c>
    </row>
    <row r="139" spans="1:11" x14ac:dyDescent="0.35">
      <c r="A139" t="s">
        <v>146</v>
      </c>
      <c r="B139" s="1">
        <v>45772</v>
      </c>
      <c r="C139" t="s">
        <v>355</v>
      </c>
      <c r="D139" t="s">
        <v>423</v>
      </c>
      <c r="E139" t="s">
        <v>430</v>
      </c>
      <c r="F139" t="s">
        <v>433</v>
      </c>
      <c r="G139" t="s">
        <v>435</v>
      </c>
      <c r="H139" t="s">
        <v>441</v>
      </c>
      <c r="I139" t="s">
        <v>442</v>
      </c>
      <c r="J139" s="5" t="str">
        <f t="shared" ca="1" si="5"/>
        <v>3+ Months Ago</v>
      </c>
      <c r="K139" s="6">
        <f t="shared" ca="1" si="4"/>
        <v>3</v>
      </c>
    </row>
    <row r="140" spans="1:11" x14ac:dyDescent="0.35">
      <c r="A140" t="s">
        <v>147</v>
      </c>
      <c r="B140" s="1">
        <v>45798</v>
      </c>
      <c r="C140" t="s">
        <v>356</v>
      </c>
      <c r="D140" t="s">
        <v>426</v>
      </c>
      <c r="E140" t="s">
        <v>430</v>
      </c>
      <c r="F140" t="s">
        <v>433</v>
      </c>
      <c r="G140" t="s">
        <v>437</v>
      </c>
      <c r="H140" t="s">
        <v>441</v>
      </c>
      <c r="I140" t="s">
        <v>442</v>
      </c>
      <c r="J140" s="5" t="str">
        <f t="shared" ca="1" si="5"/>
        <v>3+ Months Ago</v>
      </c>
      <c r="K140" s="6">
        <f t="shared" ca="1" si="4"/>
        <v>3</v>
      </c>
    </row>
    <row r="141" spans="1:11" x14ac:dyDescent="0.35">
      <c r="A141" t="s">
        <v>148</v>
      </c>
      <c r="B141" s="1">
        <v>45786</v>
      </c>
      <c r="C141" t="s">
        <v>357</v>
      </c>
      <c r="D141" t="s">
        <v>423</v>
      </c>
      <c r="E141" t="s">
        <v>430</v>
      </c>
      <c r="F141" t="s">
        <v>433</v>
      </c>
      <c r="G141" t="s">
        <v>435</v>
      </c>
      <c r="H141" t="s">
        <v>439</v>
      </c>
      <c r="I141" t="s">
        <v>442</v>
      </c>
      <c r="J141" s="5" t="str">
        <f t="shared" ca="1" si="5"/>
        <v>3+ Months Ago</v>
      </c>
      <c r="K141" s="6">
        <f t="shared" ca="1" si="4"/>
        <v>3</v>
      </c>
    </row>
    <row r="142" spans="1:11" x14ac:dyDescent="0.35">
      <c r="A142" t="s">
        <v>149</v>
      </c>
      <c r="B142" s="1">
        <v>45815</v>
      </c>
      <c r="C142" t="s">
        <v>358</v>
      </c>
      <c r="D142" t="s">
        <v>425</v>
      </c>
      <c r="E142" t="s">
        <v>432</v>
      </c>
      <c r="F142" t="s">
        <v>433</v>
      </c>
      <c r="G142" t="s">
        <v>437</v>
      </c>
      <c r="H142" t="s">
        <v>439</v>
      </c>
      <c r="I142" t="s">
        <v>442</v>
      </c>
      <c r="J142" s="5" t="str">
        <f t="shared" ca="1" si="5"/>
        <v>3+ Months Ago</v>
      </c>
      <c r="K142" s="6">
        <f t="shared" ca="1" si="4"/>
        <v>3</v>
      </c>
    </row>
    <row r="143" spans="1:11" x14ac:dyDescent="0.35">
      <c r="A143" t="s">
        <v>150</v>
      </c>
      <c r="B143" s="1">
        <v>45804</v>
      </c>
      <c r="C143" t="s">
        <v>359</v>
      </c>
      <c r="D143" t="s">
        <v>425</v>
      </c>
      <c r="E143" t="s">
        <v>429</v>
      </c>
      <c r="F143" t="s">
        <v>433</v>
      </c>
      <c r="G143" t="s">
        <v>435</v>
      </c>
      <c r="H143" t="s">
        <v>441</v>
      </c>
      <c r="I143" t="s">
        <v>442</v>
      </c>
      <c r="J143" s="5" t="str">
        <f t="shared" ca="1" si="5"/>
        <v>3+ Months Ago</v>
      </c>
      <c r="K143" s="6">
        <f t="shared" ca="1" si="4"/>
        <v>3</v>
      </c>
    </row>
    <row r="144" spans="1:11" x14ac:dyDescent="0.35">
      <c r="A144" t="s">
        <v>151</v>
      </c>
      <c r="B144" s="1">
        <v>45791</v>
      </c>
      <c r="C144" t="s">
        <v>360</v>
      </c>
      <c r="D144" t="s">
        <v>424</v>
      </c>
      <c r="E144" t="s">
        <v>429</v>
      </c>
      <c r="F144" t="s">
        <v>433</v>
      </c>
      <c r="G144" t="s">
        <v>437</v>
      </c>
      <c r="H144" t="s">
        <v>441</v>
      </c>
      <c r="I144" t="s">
        <v>442</v>
      </c>
      <c r="J144" s="5" t="str">
        <f t="shared" ca="1" si="5"/>
        <v>3+ Months Ago</v>
      </c>
      <c r="K144" s="6">
        <f t="shared" ca="1" si="4"/>
        <v>3</v>
      </c>
    </row>
    <row r="145" spans="1:11" x14ac:dyDescent="0.35">
      <c r="A145" t="s">
        <v>152</v>
      </c>
      <c r="B145" s="1">
        <v>45768</v>
      </c>
      <c r="C145" t="s">
        <v>361</v>
      </c>
      <c r="D145" t="s">
        <v>426</v>
      </c>
      <c r="E145" t="s">
        <v>428</v>
      </c>
      <c r="F145" t="s">
        <v>433</v>
      </c>
      <c r="G145" t="s">
        <v>438</v>
      </c>
      <c r="H145" t="s">
        <v>439</v>
      </c>
      <c r="I145" t="s">
        <v>442</v>
      </c>
      <c r="J145" s="5" t="str">
        <f t="shared" ca="1" si="5"/>
        <v>3+ Months Ago</v>
      </c>
      <c r="K145" s="6">
        <f t="shared" ca="1" si="4"/>
        <v>3</v>
      </c>
    </row>
    <row r="146" spans="1:11" x14ac:dyDescent="0.35">
      <c r="A146" t="s">
        <v>153</v>
      </c>
      <c r="B146" s="1">
        <v>45711</v>
      </c>
      <c r="C146" t="s">
        <v>362</v>
      </c>
      <c r="D146" t="s">
        <v>425</v>
      </c>
      <c r="E146" t="s">
        <v>430</v>
      </c>
      <c r="F146" t="s">
        <v>433</v>
      </c>
      <c r="G146" t="s">
        <v>437</v>
      </c>
      <c r="H146" t="s">
        <v>440</v>
      </c>
      <c r="I146" t="s">
        <v>442</v>
      </c>
      <c r="J146" s="5" t="str">
        <f t="shared" ca="1" si="5"/>
        <v>3+ Months Ago</v>
      </c>
      <c r="K146" s="6">
        <f t="shared" ca="1" si="4"/>
        <v>3</v>
      </c>
    </row>
    <row r="147" spans="1:11" x14ac:dyDescent="0.35">
      <c r="A147" t="s">
        <v>154</v>
      </c>
      <c r="B147" s="1">
        <v>45679</v>
      </c>
      <c r="C147" t="s">
        <v>363</v>
      </c>
      <c r="D147" t="s">
        <v>425</v>
      </c>
      <c r="E147" t="s">
        <v>430</v>
      </c>
      <c r="F147" t="s">
        <v>433</v>
      </c>
      <c r="G147" t="s">
        <v>437</v>
      </c>
      <c r="H147" t="s">
        <v>440</v>
      </c>
      <c r="I147" t="s">
        <v>442</v>
      </c>
      <c r="J147" s="5" t="str">
        <f t="shared" ca="1" si="5"/>
        <v>3+ Months Ago</v>
      </c>
      <c r="K147" s="6">
        <f t="shared" ca="1" si="4"/>
        <v>3</v>
      </c>
    </row>
    <row r="148" spans="1:11" x14ac:dyDescent="0.35">
      <c r="A148" t="s">
        <v>155</v>
      </c>
      <c r="B148" s="1">
        <v>45736</v>
      </c>
      <c r="C148" t="s">
        <v>364</v>
      </c>
      <c r="D148" t="s">
        <v>424</v>
      </c>
      <c r="E148" t="s">
        <v>432</v>
      </c>
      <c r="F148" t="s">
        <v>433</v>
      </c>
      <c r="G148" t="s">
        <v>437</v>
      </c>
      <c r="H148" t="s">
        <v>441</v>
      </c>
      <c r="I148" t="s">
        <v>442</v>
      </c>
      <c r="J148" s="5" t="str">
        <f t="shared" ca="1" si="5"/>
        <v>3+ Months Ago</v>
      </c>
      <c r="K148" s="6">
        <f t="shared" ca="1" si="4"/>
        <v>3</v>
      </c>
    </row>
    <row r="149" spans="1:11" x14ac:dyDescent="0.35">
      <c r="A149" t="s">
        <v>156</v>
      </c>
      <c r="B149" s="1">
        <v>45689</v>
      </c>
      <c r="C149" t="s">
        <v>365</v>
      </c>
      <c r="D149" t="s">
        <v>427</v>
      </c>
      <c r="E149" t="s">
        <v>431</v>
      </c>
      <c r="F149" t="s">
        <v>434</v>
      </c>
      <c r="G149" t="s">
        <v>436</v>
      </c>
      <c r="H149" t="s">
        <v>441</v>
      </c>
      <c r="I149" t="s">
        <v>443</v>
      </c>
      <c r="J149" s="5" t="str">
        <f t="shared" ca="1" si="5"/>
        <v>3+ Months Ago</v>
      </c>
      <c r="K149" s="6">
        <f t="shared" ca="1" si="4"/>
        <v>3</v>
      </c>
    </row>
    <row r="150" spans="1:11" x14ac:dyDescent="0.35">
      <c r="A150" t="s">
        <v>157</v>
      </c>
      <c r="B150" s="1">
        <v>45789</v>
      </c>
      <c r="C150" t="s">
        <v>366</v>
      </c>
      <c r="D150" t="s">
        <v>424</v>
      </c>
      <c r="E150" t="s">
        <v>430</v>
      </c>
      <c r="F150" t="s">
        <v>434</v>
      </c>
      <c r="G150" t="s">
        <v>437</v>
      </c>
      <c r="H150" t="s">
        <v>440</v>
      </c>
      <c r="I150" t="s">
        <v>443</v>
      </c>
      <c r="J150" s="5" t="str">
        <f t="shared" ca="1" si="5"/>
        <v>3+ Months Ago</v>
      </c>
      <c r="K150" s="6">
        <f t="shared" ca="1" si="4"/>
        <v>3</v>
      </c>
    </row>
    <row r="151" spans="1:11" x14ac:dyDescent="0.35">
      <c r="A151" t="s">
        <v>158</v>
      </c>
      <c r="B151" s="1">
        <v>45755</v>
      </c>
      <c r="C151" t="s">
        <v>367</v>
      </c>
      <c r="D151" t="s">
        <v>425</v>
      </c>
      <c r="E151" t="s">
        <v>430</v>
      </c>
      <c r="F151" t="s">
        <v>433</v>
      </c>
      <c r="G151" t="s">
        <v>435</v>
      </c>
      <c r="H151" t="s">
        <v>440</v>
      </c>
      <c r="I151" t="s">
        <v>442</v>
      </c>
      <c r="J151" s="5" t="str">
        <f t="shared" ca="1" si="5"/>
        <v>3+ Months Ago</v>
      </c>
      <c r="K151" s="6">
        <f t="shared" ca="1" si="4"/>
        <v>3</v>
      </c>
    </row>
    <row r="152" spans="1:11" x14ac:dyDescent="0.35">
      <c r="A152" t="s">
        <v>159</v>
      </c>
      <c r="B152" s="1">
        <v>45684</v>
      </c>
      <c r="C152" t="s">
        <v>368</v>
      </c>
      <c r="D152" t="s">
        <v>423</v>
      </c>
      <c r="E152" t="s">
        <v>431</v>
      </c>
      <c r="F152" t="s">
        <v>433</v>
      </c>
      <c r="G152" t="s">
        <v>437</v>
      </c>
      <c r="H152" t="s">
        <v>439</v>
      </c>
      <c r="I152" t="s">
        <v>442</v>
      </c>
      <c r="J152" s="5" t="str">
        <f t="shared" ca="1" si="5"/>
        <v>3+ Months Ago</v>
      </c>
      <c r="K152" s="6">
        <f t="shared" ca="1" si="4"/>
        <v>3</v>
      </c>
    </row>
    <row r="153" spans="1:11" x14ac:dyDescent="0.35">
      <c r="A153" t="s">
        <v>160</v>
      </c>
      <c r="B153" s="1">
        <v>45720</v>
      </c>
      <c r="C153" t="s">
        <v>369</v>
      </c>
      <c r="D153" t="s">
        <v>424</v>
      </c>
      <c r="E153" t="s">
        <v>432</v>
      </c>
      <c r="F153" t="s">
        <v>433</v>
      </c>
      <c r="G153" t="s">
        <v>437</v>
      </c>
      <c r="H153" t="s">
        <v>439</v>
      </c>
      <c r="I153" t="s">
        <v>442</v>
      </c>
      <c r="J153" s="5" t="str">
        <f t="shared" ca="1" si="5"/>
        <v>3+ Months Ago</v>
      </c>
      <c r="K153" s="6">
        <f t="shared" ca="1" si="4"/>
        <v>3</v>
      </c>
    </row>
    <row r="154" spans="1:11" x14ac:dyDescent="0.35">
      <c r="A154" t="s">
        <v>161</v>
      </c>
      <c r="B154" s="1">
        <v>45792</v>
      </c>
      <c r="C154" t="s">
        <v>370</v>
      </c>
      <c r="D154" t="s">
        <v>425</v>
      </c>
      <c r="E154" t="s">
        <v>430</v>
      </c>
      <c r="F154" t="s">
        <v>433</v>
      </c>
      <c r="G154" t="s">
        <v>437</v>
      </c>
      <c r="H154" t="s">
        <v>440</v>
      </c>
      <c r="I154" t="s">
        <v>442</v>
      </c>
      <c r="J154" s="5" t="str">
        <f t="shared" ca="1" si="5"/>
        <v>3+ Months Ago</v>
      </c>
      <c r="K154" s="6">
        <f t="shared" ca="1" si="4"/>
        <v>3</v>
      </c>
    </row>
    <row r="155" spans="1:11" x14ac:dyDescent="0.35">
      <c r="A155" t="s">
        <v>162</v>
      </c>
      <c r="B155" s="1">
        <v>45780</v>
      </c>
      <c r="C155" t="s">
        <v>371</v>
      </c>
      <c r="D155" t="s">
        <v>425</v>
      </c>
      <c r="E155" t="s">
        <v>432</v>
      </c>
      <c r="F155" t="s">
        <v>434</v>
      </c>
      <c r="G155" t="s">
        <v>435</v>
      </c>
      <c r="H155" t="s">
        <v>440</v>
      </c>
      <c r="I155" t="s">
        <v>443</v>
      </c>
      <c r="J155" s="5" t="str">
        <f t="shared" ca="1" si="5"/>
        <v>3+ Months Ago</v>
      </c>
      <c r="K155" s="6">
        <f t="shared" ca="1" si="4"/>
        <v>3</v>
      </c>
    </row>
    <row r="156" spans="1:11" x14ac:dyDescent="0.35">
      <c r="A156" t="s">
        <v>163</v>
      </c>
      <c r="B156" s="1">
        <v>45757</v>
      </c>
      <c r="C156" t="s">
        <v>372</v>
      </c>
      <c r="D156" t="s">
        <v>423</v>
      </c>
      <c r="E156" t="s">
        <v>428</v>
      </c>
      <c r="F156" t="s">
        <v>433</v>
      </c>
      <c r="G156" t="s">
        <v>435</v>
      </c>
      <c r="H156" t="s">
        <v>439</v>
      </c>
      <c r="I156" t="s">
        <v>442</v>
      </c>
      <c r="J156" s="5" t="str">
        <f t="shared" ca="1" si="5"/>
        <v>3+ Months Ago</v>
      </c>
      <c r="K156" s="6">
        <f t="shared" ca="1" si="4"/>
        <v>3</v>
      </c>
    </row>
    <row r="157" spans="1:11" x14ac:dyDescent="0.35">
      <c r="A157" t="s">
        <v>164</v>
      </c>
      <c r="B157" s="1">
        <v>45781</v>
      </c>
      <c r="C157" t="s">
        <v>373</v>
      </c>
      <c r="D157" t="s">
        <v>425</v>
      </c>
      <c r="E157" t="s">
        <v>431</v>
      </c>
      <c r="F157" t="s">
        <v>434</v>
      </c>
      <c r="G157" t="s">
        <v>438</v>
      </c>
      <c r="H157" t="s">
        <v>441</v>
      </c>
      <c r="I157" t="s">
        <v>443</v>
      </c>
      <c r="J157" s="5" t="str">
        <f t="shared" ca="1" si="5"/>
        <v>3+ Months Ago</v>
      </c>
      <c r="K157" s="6">
        <f t="shared" ca="1" si="4"/>
        <v>3</v>
      </c>
    </row>
    <row r="158" spans="1:11" x14ac:dyDescent="0.35">
      <c r="A158" t="s">
        <v>165</v>
      </c>
      <c r="B158" s="1">
        <v>45733</v>
      </c>
      <c r="C158" t="s">
        <v>374</v>
      </c>
      <c r="D158" t="s">
        <v>426</v>
      </c>
      <c r="E158" t="s">
        <v>429</v>
      </c>
      <c r="F158" t="s">
        <v>434</v>
      </c>
      <c r="G158" t="s">
        <v>438</v>
      </c>
      <c r="H158" t="s">
        <v>441</v>
      </c>
      <c r="I158" t="s">
        <v>443</v>
      </c>
      <c r="J158" s="5" t="str">
        <f t="shared" ca="1" si="5"/>
        <v>3+ Months Ago</v>
      </c>
      <c r="K158" s="6">
        <f t="shared" ca="1" si="4"/>
        <v>3</v>
      </c>
    </row>
    <row r="159" spans="1:11" x14ac:dyDescent="0.35">
      <c r="A159" t="s">
        <v>166</v>
      </c>
      <c r="B159" s="1">
        <v>45763</v>
      </c>
      <c r="C159" t="s">
        <v>375</v>
      </c>
      <c r="D159" t="s">
        <v>425</v>
      </c>
      <c r="E159" t="s">
        <v>429</v>
      </c>
      <c r="F159" t="s">
        <v>433</v>
      </c>
      <c r="G159" t="s">
        <v>437</v>
      </c>
      <c r="H159" t="s">
        <v>440</v>
      </c>
      <c r="I159" t="s">
        <v>442</v>
      </c>
      <c r="J159" s="5" t="str">
        <f t="shared" ca="1" si="5"/>
        <v>3+ Months Ago</v>
      </c>
      <c r="K159" s="6">
        <f t="shared" ca="1" si="4"/>
        <v>3</v>
      </c>
    </row>
    <row r="160" spans="1:11" x14ac:dyDescent="0.35">
      <c r="A160" t="s">
        <v>167</v>
      </c>
      <c r="B160" s="1">
        <v>45730</v>
      </c>
      <c r="C160" t="s">
        <v>376</v>
      </c>
      <c r="D160" t="s">
        <v>426</v>
      </c>
      <c r="E160" t="s">
        <v>431</v>
      </c>
      <c r="F160" t="s">
        <v>433</v>
      </c>
      <c r="G160" t="s">
        <v>437</v>
      </c>
      <c r="H160" t="s">
        <v>439</v>
      </c>
      <c r="I160" t="s">
        <v>442</v>
      </c>
      <c r="J160" s="5" t="str">
        <f t="shared" ca="1" si="5"/>
        <v>3+ Months Ago</v>
      </c>
      <c r="K160" s="6">
        <f t="shared" ca="1" si="4"/>
        <v>3</v>
      </c>
    </row>
    <row r="161" spans="1:11" x14ac:dyDescent="0.35">
      <c r="A161" t="s">
        <v>168</v>
      </c>
      <c r="B161" s="1">
        <v>45802</v>
      </c>
      <c r="C161" t="s">
        <v>377</v>
      </c>
      <c r="D161" t="s">
        <v>427</v>
      </c>
      <c r="E161" t="s">
        <v>428</v>
      </c>
      <c r="F161" t="s">
        <v>433</v>
      </c>
      <c r="G161" t="s">
        <v>435</v>
      </c>
      <c r="H161" t="s">
        <v>439</v>
      </c>
      <c r="I161" t="s">
        <v>442</v>
      </c>
      <c r="J161" s="5" t="str">
        <f t="shared" ca="1" si="5"/>
        <v>3+ Months Ago</v>
      </c>
      <c r="K161" s="6">
        <f t="shared" ca="1" si="4"/>
        <v>3</v>
      </c>
    </row>
    <row r="162" spans="1:11" x14ac:dyDescent="0.35">
      <c r="A162" t="s">
        <v>169</v>
      </c>
      <c r="B162" s="1">
        <v>45844</v>
      </c>
      <c r="C162" t="s">
        <v>378</v>
      </c>
      <c r="D162" t="s">
        <v>427</v>
      </c>
      <c r="E162" t="s">
        <v>430</v>
      </c>
      <c r="F162" t="s">
        <v>433</v>
      </c>
      <c r="G162" t="s">
        <v>435</v>
      </c>
      <c r="H162" t="s">
        <v>439</v>
      </c>
      <c r="I162" t="s">
        <v>442</v>
      </c>
      <c r="J162" s="5" t="str">
        <f t="shared" ca="1" si="5"/>
        <v>3+ Months Ago</v>
      </c>
      <c r="K162" s="6">
        <f t="shared" ca="1" si="4"/>
        <v>3</v>
      </c>
    </row>
    <row r="163" spans="1:11" x14ac:dyDescent="0.35">
      <c r="A163" t="s">
        <v>170</v>
      </c>
      <c r="B163" s="1">
        <v>45699</v>
      </c>
      <c r="C163" t="s">
        <v>379</v>
      </c>
      <c r="D163" t="s">
        <v>425</v>
      </c>
      <c r="E163" t="s">
        <v>431</v>
      </c>
      <c r="F163" t="s">
        <v>433</v>
      </c>
      <c r="G163" t="s">
        <v>435</v>
      </c>
      <c r="H163" t="s">
        <v>439</v>
      </c>
      <c r="I163" t="s">
        <v>442</v>
      </c>
      <c r="J163" s="5" t="str">
        <f t="shared" ca="1" si="5"/>
        <v>3+ Months Ago</v>
      </c>
      <c r="K163" s="6">
        <f t="shared" ca="1" si="4"/>
        <v>3</v>
      </c>
    </row>
    <row r="164" spans="1:11" x14ac:dyDescent="0.35">
      <c r="A164" t="s">
        <v>171</v>
      </c>
      <c r="B164" s="1">
        <v>45685</v>
      </c>
      <c r="C164" t="s">
        <v>380</v>
      </c>
      <c r="D164" t="s">
        <v>423</v>
      </c>
      <c r="E164" t="s">
        <v>431</v>
      </c>
      <c r="F164" t="s">
        <v>433</v>
      </c>
      <c r="G164" t="s">
        <v>435</v>
      </c>
      <c r="H164" t="s">
        <v>440</v>
      </c>
      <c r="I164" t="s">
        <v>442</v>
      </c>
      <c r="J164" s="5" t="str">
        <f t="shared" ca="1" si="5"/>
        <v>3+ Months Ago</v>
      </c>
      <c r="K164" s="6">
        <f t="shared" ca="1" si="4"/>
        <v>3</v>
      </c>
    </row>
    <row r="165" spans="1:11" x14ac:dyDescent="0.35">
      <c r="A165" t="s">
        <v>172</v>
      </c>
      <c r="B165" s="1">
        <v>45754</v>
      </c>
      <c r="C165" t="s">
        <v>381</v>
      </c>
      <c r="D165" t="s">
        <v>425</v>
      </c>
      <c r="E165" t="s">
        <v>429</v>
      </c>
      <c r="F165" t="s">
        <v>433</v>
      </c>
      <c r="G165" t="s">
        <v>436</v>
      </c>
      <c r="H165" t="s">
        <v>439</v>
      </c>
      <c r="I165" t="s">
        <v>442</v>
      </c>
      <c r="J165" s="5" t="str">
        <f t="shared" ca="1" si="5"/>
        <v>3+ Months Ago</v>
      </c>
      <c r="K165" s="6">
        <f t="shared" ca="1" si="4"/>
        <v>3</v>
      </c>
    </row>
    <row r="166" spans="1:11" x14ac:dyDescent="0.35">
      <c r="A166" t="s">
        <v>173</v>
      </c>
      <c r="B166" s="1">
        <v>45725</v>
      </c>
      <c r="C166" t="s">
        <v>382</v>
      </c>
      <c r="D166" t="s">
        <v>425</v>
      </c>
      <c r="E166" t="s">
        <v>431</v>
      </c>
      <c r="F166" t="s">
        <v>434</v>
      </c>
      <c r="G166" t="s">
        <v>438</v>
      </c>
      <c r="H166" t="s">
        <v>439</v>
      </c>
      <c r="I166" t="s">
        <v>443</v>
      </c>
      <c r="J166" s="5" t="str">
        <f t="shared" ca="1" si="5"/>
        <v>3+ Months Ago</v>
      </c>
      <c r="K166" s="6">
        <f t="shared" ca="1" si="4"/>
        <v>3</v>
      </c>
    </row>
    <row r="167" spans="1:11" x14ac:dyDescent="0.35">
      <c r="A167" t="s">
        <v>174</v>
      </c>
      <c r="B167" s="1">
        <v>45845</v>
      </c>
      <c r="C167" t="s">
        <v>241</v>
      </c>
      <c r="D167" t="s">
        <v>426</v>
      </c>
      <c r="E167" t="s">
        <v>432</v>
      </c>
      <c r="F167" t="s">
        <v>433</v>
      </c>
      <c r="G167" t="s">
        <v>436</v>
      </c>
      <c r="H167" t="s">
        <v>441</v>
      </c>
      <c r="I167" t="s">
        <v>442</v>
      </c>
      <c r="J167" s="5" t="str">
        <f t="shared" ca="1" si="5"/>
        <v>3+ Months Ago</v>
      </c>
      <c r="K167" s="6">
        <f t="shared" ca="1" si="4"/>
        <v>3</v>
      </c>
    </row>
    <row r="168" spans="1:11" x14ac:dyDescent="0.35">
      <c r="A168" t="s">
        <v>175</v>
      </c>
      <c r="B168" s="1">
        <v>45709</v>
      </c>
      <c r="C168" t="s">
        <v>383</v>
      </c>
      <c r="D168" t="s">
        <v>423</v>
      </c>
      <c r="E168" t="s">
        <v>432</v>
      </c>
      <c r="F168" t="s">
        <v>433</v>
      </c>
      <c r="G168" t="s">
        <v>436</v>
      </c>
      <c r="H168" t="s">
        <v>439</v>
      </c>
      <c r="I168" t="s">
        <v>442</v>
      </c>
      <c r="J168" s="5" t="str">
        <f t="shared" ca="1" si="5"/>
        <v>3+ Months Ago</v>
      </c>
      <c r="K168" s="6">
        <f t="shared" ca="1" si="4"/>
        <v>3</v>
      </c>
    </row>
    <row r="169" spans="1:11" x14ac:dyDescent="0.35">
      <c r="A169" t="s">
        <v>176</v>
      </c>
      <c r="B169" s="1">
        <v>45727</v>
      </c>
      <c r="C169" t="s">
        <v>384</v>
      </c>
      <c r="D169" t="s">
        <v>423</v>
      </c>
      <c r="E169" t="s">
        <v>431</v>
      </c>
      <c r="F169" t="s">
        <v>433</v>
      </c>
      <c r="G169" t="s">
        <v>436</v>
      </c>
      <c r="H169" t="s">
        <v>440</v>
      </c>
      <c r="I169" t="s">
        <v>442</v>
      </c>
      <c r="J169" s="5" t="str">
        <f t="shared" ca="1" si="5"/>
        <v>3+ Months Ago</v>
      </c>
      <c r="K169" s="6">
        <f t="shared" ca="1" si="4"/>
        <v>3</v>
      </c>
    </row>
    <row r="170" spans="1:11" x14ac:dyDescent="0.35">
      <c r="A170" t="s">
        <v>177</v>
      </c>
      <c r="B170" s="1">
        <v>45824</v>
      </c>
      <c r="C170" t="s">
        <v>385</v>
      </c>
      <c r="D170" t="s">
        <v>425</v>
      </c>
      <c r="E170" t="s">
        <v>429</v>
      </c>
      <c r="F170" t="s">
        <v>433</v>
      </c>
      <c r="G170" t="s">
        <v>438</v>
      </c>
      <c r="H170" t="s">
        <v>439</v>
      </c>
      <c r="I170" t="s">
        <v>442</v>
      </c>
      <c r="J170" s="5" t="str">
        <f t="shared" ca="1" si="5"/>
        <v>3+ Months Ago</v>
      </c>
      <c r="K170" s="6">
        <f t="shared" ca="1" si="4"/>
        <v>3</v>
      </c>
    </row>
    <row r="171" spans="1:11" x14ac:dyDescent="0.35">
      <c r="A171" t="s">
        <v>178</v>
      </c>
      <c r="B171" s="1">
        <v>45675</v>
      </c>
      <c r="C171" t="s">
        <v>386</v>
      </c>
      <c r="D171" t="s">
        <v>427</v>
      </c>
      <c r="E171" t="s">
        <v>429</v>
      </c>
      <c r="F171" t="s">
        <v>433</v>
      </c>
      <c r="G171" t="s">
        <v>436</v>
      </c>
      <c r="H171" t="s">
        <v>441</v>
      </c>
      <c r="I171" t="s">
        <v>442</v>
      </c>
      <c r="J171" s="5" t="str">
        <f t="shared" ca="1" si="5"/>
        <v>3+ Months Ago</v>
      </c>
      <c r="K171" s="6">
        <f t="shared" ca="1" si="4"/>
        <v>3</v>
      </c>
    </row>
    <row r="172" spans="1:11" x14ac:dyDescent="0.35">
      <c r="A172" t="s">
        <v>179</v>
      </c>
      <c r="B172" s="1">
        <v>45730</v>
      </c>
      <c r="C172" t="s">
        <v>387</v>
      </c>
      <c r="D172" t="s">
        <v>425</v>
      </c>
      <c r="E172" t="s">
        <v>429</v>
      </c>
      <c r="F172" t="s">
        <v>434</v>
      </c>
      <c r="G172" t="s">
        <v>437</v>
      </c>
      <c r="H172" t="s">
        <v>439</v>
      </c>
      <c r="I172" t="s">
        <v>443</v>
      </c>
      <c r="J172" s="5" t="str">
        <f t="shared" ca="1" si="5"/>
        <v>3+ Months Ago</v>
      </c>
      <c r="K172" s="6">
        <f t="shared" ca="1" si="4"/>
        <v>3</v>
      </c>
    </row>
    <row r="173" spans="1:11" x14ac:dyDescent="0.35">
      <c r="A173" t="s">
        <v>180</v>
      </c>
      <c r="B173" s="1">
        <v>45728</v>
      </c>
      <c r="C173" t="s">
        <v>388</v>
      </c>
      <c r="D173" t="s">
        <v>426</v>
      </c>
      <c r="E173" t="s">
        <v>430</v>
      </c>
      <c r="F173" t="s">
        <v>433</v>
      </c>
      <c r="G173" t="s">
        <v>436</v>
      </c>
      <c r="H173" t="s">
        <v>439</v>
      </c>
      <c r="I173" t="s">
        <v>442</v>
      </c>
      <c r="J173" s="5" t="str">
        <f t="shared" ca="1" si="5"/>
        <v>3+ Months Ago</v>
      </c>
      <c r="K173" s="6">
        <f t="shared" ca="1" si="4"/>
        <v>3</v>
      </c>
    </row>
    <row r="174" spans="1:11" x14ac:dyDescent="0.35">
      <c r="A174" t="s">
        <v>181</v>
      </c>
      <c r="B174" s="1">
        <v>45834</v>
      </c>
      <c r="C174" t="s">
        <v>389</v>
      </c>
      <c r="D174" t="s">
        <v>424</v>
      </c>
      <c r="E174" t="s">
        <v>431</v>
      </c>
      <c r="F174" t="s">
        <v>434</v>
      </c>
      <c r="G174" t="s">
        <v>435</v>
      </c>
      <c r="H174" t="s">
        <v>439</v>
      </c>
      <c r="I174" t="s">
        <v>443</v>
      </c>
      <c r="J174" s="5" t="str">
        <f t="shared" ca="1" si="5"/>
        <v>3+ Months Ago</v>
      </c>
      <c r="K174" s="6">
        <f t="shared" ca="1" si="4"/>
        <v>3</v>
      </c>
    </row>
    <row r="175" spans="1:11" x14ac:dyDescent="0.35">
      <c r="A175" t="s">
        <v>182</v>
      </c>
      <c r="B175" s="1">
        <v>45711</v>
      </c>
      <c r="C175" t="s">
        <v>390</v>
      </c>
      <c r="D175" t="s">
        <v>425</v>
      </c>
      <c r="E175" t="s">
        <v>430</v>
      </c>
      <c r="F175" t="s">
        <v>433</v>
      </c>
      <c r="G175" t="s">
        <v>435</v>
      </c>
      <c r="H175" t="s">
        <v>439</v>
      </c>
      <c r="I175" t="s">
        <v>442</v>
      </c>
      <c r="J175" s="5" t="str">
        <f t="shared" ca="1" si="5"/>
        <v>3+ Months Ago</v>
      </c>
      <c r="K175" s="6">
        <f t="shared" ca="1" si="4"/>
        <v>3</v>
      </c>
    </row>
    <row r="176" spans="1:11" x14ac:dyDescent="0.35">
      <c r="A176" t="s">
        <v>183</v>
      </c>
      <c r="B176" s="1">
        <v>45750</v>
      </c>
      <c r="C176" t="s">
        <v>391</v>
      </c>
      <c r="D176" t="s">
        <v>427</v>
      </c>
      <c r="E176" t="s">
        <v>432</v>
      </c>
      <c r="F176" t="s">
        <v>433</v>
      </c>
      <c r="G176" t="s">
        <v>435</v>
      </c>
      <c r="H176" t="s">
        <v>439</v>
      </c>
      <c r="I176" t="s">
        <v>442</v>
      </c>
      <c r="J176" s="5" t="str">
        <f t="shared" ca="1" si="5"/>
        <v>3+ Months Ago</v>
      </c>
      <c r="K176" s="6">
        <f t="shared" ca="1" si="4"/>
        <v>3</v>
      </c>
    </row>
    <row r="177" spans="1:11" x14ac:dyDescent="0.35">
      <c r="A177" t="s">
        <v>184</v>
      </c>
      <c r="B177" s="1">
        <v>45701</v>
      </c>
      <c r="C177" t="s">
        <v>392</v>
      </c>
      <c r="D177" t="s">
        <v>427</v>
      </c>
      <c r="E177" t="s">
        <v>428</v>
      </c>
      <c r="F177" t="s">
        <v>433</v>
      </c>
      <c r="G177" t="s">
        <v>437</v>
      </c>
      <c r="H177" t="s">
        <v>440</v>
      </c>
      <c r="I177" t="s">
        <v>442</v>
      </c>
      <c r="J177" s="5" t="str">
        <f t="shared" ca="1" si="5"/>
        <v>3+ Months Ago</v>
      </c>
      <c r="K177" s="6">
        <f t="shared" ca="1" si="4"/>
        <v>3</v>
      </c>
    </row>
    <row r="178" spans="1:11" x14ac:dyDescent="0.35">
      <c r="A178" t="s">
        <v>185</v>
      </c>
      <c r="B178" s="1">
        <v>45714</v>
      </c>
      <c r="C178" t="s">
        <v>268</v>
      </c>
      <c r="D178" t="s">
        <v>425</v>
      </c>
      <c r="E178" t="s">
        <v>430</v>
      </c>
      <c r="F178" t="s">
        <v>433</v>
      </c>
      <c r="G178" t="s">
        <v>437</v>
      </c>
      <c r="H178" t="s">
        <v>440</v>
      </c>
      <c r="I178" t="s">
        <v>442</v>
      </c>
      <c r="J178" s="5" t="str">
        <f t="shared" ca="1" si="5"/>
        <v>3+ Months Ago</v>
      </c>
      <c r="K178" s="6">
        <f t="shared" ca="1" si="4"/>
        <v>3</v>
      </c>
    </row>
    <row r="179" spans="1:11" x14ac:dyDescent="0.35">
      <c r="A179" t="s">
        <v>186</v>
      </c>
      <c r="B179" s="1">
        <v>45749</v>
      </c>
      <c r="C179" t="s">
        <v>393</v>
      </c>
      <c r="D179" t="s">
        <v>425</v>
      </c>
      <c r="E179" t="s">
        <v>428</v>
      </c>
      <c r="F179" t="s">
        <v>433</v>
      </c>
      <c r="G179" t="s">
        <v>438</v>
      </c>
      <c r="H179" t="s">
        <v>439</v>
      </c>
      <c r="I179" t="s">
        <v>442</v>
      </c>
      <c r="J179" s="5" t="str">
        <f t="shared" ca="1" si="5"/>
        <v>3+ Months Ago</v>
      </c>
      <c r="K179" s="6">
        <f t="shared" ca="1" si="4"/>
        <v>3</v>
      </c>
    </row>
    <row r="180" spans="1:11" x14ac:dyDescent="0.35">
      <c r="A180" t="s">
        <v>187</v>
      </c>
      <c r="B180" s="1">
        <v>45692</v>
      </c>
      <c r="C180" t="s">
        <v>394</v>
      </c>
      <c r="D180" t="s">
        <v>423</v>
      </c>
      <c r="E180" t="s">
        <v>428</v>
      </c>
      <c r="F180" t="s">
        <v>433</v>
      </c>
      <c r="G180" t="s">
        <v>436</v>
      </c>
      <c r="H180" t="s">
        <v>439</v>
      </c>
      <c r="I180" t="s">
        <v>442</v>
      </c>
      <c r="J180" s="5" t="str">
        <f t="shared" ca="1" si="5"/>
        <v>3+ Months Ago</v>
      </c>
      <c r="K180" s="6">
        <f t="shared" ca="1" si="4"/>
        <v>3</v>
      </c>
    </row>
    <row r="181" spans="1:11" x14ac:dyDescent="0.35">
      <c r="A181" t="s">
        <v>188</v>
      </c>
      <c r="B181" s="1">
        <v>45717</v>
      </c>
      <c r="C181" t="s">
        <v>395</v>
      </c>
      <c r="D181" t="s">
        <v>426</v>
      </c>
      <c r="E181" t="s">
        <v>429</v>
      </c>
      <c r="F181" t="s">
        <v>433</v>
      </c>
      <c r="G181" t="s">
        <v>436</v>
      </c>
      <c r="H181" t="s">
        <v>441</v>
      </c>
      <c r="I181" t="s">
        <v>442</v>
      </c>
      <c r="J181" s="5" t="str">
        <f t="shared" ca="1" si="5"/>
        <v>3+ Months Ago</v>
      </c>
      <c r="K181" s="6">
        <f t="shared" ca="1" si="4"/>
        <v>3</v>
      </c>
    </row>
    <row r="182" spans="1:11" x14ac:dyDescent="0.35">
      <c r="A182" t="s">
        <v>189</v>
      </c>
      <c r="B182" s="1">
        <v>45685</v>
      </c>
      <c r="C182" t="s">
        <v>396</v>
      </c>
      <c r="D182" t="s">
        <v>424</v>
      </c>
      <c r="E182" t="s">
        <v>432</v>
      </c>
      <c r="F182" t="s">
        <v>433</v>
      </c>
      <c r="G182" t="s">
        <v>435</v>
      </c>
      <c r="H182" t="s">
        <v>440</v>
      </c>
      <c r="I182" t="s">
        <v>442</v>
      </c>
      <c r="J182" s="5" t="str">
        <f t="shared" ca="1" si="5"/>
        <v>3+ Months Ago</v>
      </c>
      <c r="K182" s="6">
        <f t="shared" ca="1" si="4"/>
        <v>3</v>
      </c>
    </row>
    <row r="183" spans="1:11" x14ac:dyDescent="0.35">
      <c r="A183" t="s">
        <v>190</v>
      </c>
      <c r="B183" s="1">
        <v>45850</v>
      </c>
      <c r="C183" t="s">
        <v>397</v>
      </c>
      <c r="D183" t="s">
        <v>425</v>
      </c>
      <c r="E183" t="s">
        <v>431</v>
      </c>
      <c r="F183" t="s">
        <v>434</v>
      </c>
      <c r="G183" t="s">
        <v>435</v>
      </c>
      <c r="H183" t="s">
        <v>440</v>
      </c>
      <c r="I183" t="s">
        <v>443</v>
      </c>
      <c r="J183" s="5" t="str">
        <f t="shared" ca="1" si="5"/>
        <v>3+ Months Ago</v>
      </c>
      <c r="K183" s="6">
        <f t="shared" ca="1" si="4"/>
        <v>3</v>
      </c>
    </row>
    <row r="184" spans="1:11" x14ac:dyDescent="0.35">
      <c r="A184" t="s">
        <v>191</v>
      </c>
      <c r="B184" s="1">
        <v>45746</v>
      </c>
      <c r="C184" t="s">
        <v>398</v>
      </c>
      <c r="D184" t="s">
        <v>424</v>
      </c>
      <c r="E184" t="s">
        <v>428</v>
      </c>
      <c r="F184" t="s">
        <v>433</v>
      </c>
      <c r="G184" t="s">
        <v>435</v>
      </c>
      <c r="H184" t="s">
        <v>441</v>
      </c>
      <c r="I184" t="s">
        <v>442</v>
      </c>
      <c r="J184" s="5" t="str">
        <f t="shared" ca="1" si="5"/>
        <v>3+ Months Ago</v>
      </c>
      <c r="K184" s="6">
        <f t="shared" ca="1" si="4"/>
        <v>3</v>
      </c>
    </row>
    <row r="185" spans="1:11" x14ac:dyDescent="0.35">
      <c r="A185" t="s">
        <v>192</v>
      </c>
      <c r="B185" s="1">
        <v>45709</v>
      </c>
      <c r="C185" t="s">
        <v>399</v>
      </c>
      <c r="D185" t="s">
        <v>424</v>
      </c>
      <c r="E185" t="s">
        <v>429</v>
      </c>
      <c r="F185" t="s">
        <v>433</v>
      </c>
      <c r="G185" t="s">
        <v>436</v>
      </c>
      <c r="H185" t="s">
        <v>440</v>
      </c>
      <c r="I185" t="s">
        <v>442</v>
      </c>
      <c r="J185" s="5" t="str">
        <f t="shared" ca="1" si="5"/>
        <v>3+ Months Ago</v>
      </c>
      <c r="K185" s="6">
        <f t="shared" ca="1" si="4"/>
        <v>3</v>
      </c>
    </row>
    <row r="186" spans="1:11" x14ac:dyDescent="0.35">
      <c r="A186" t="s">
        <v>193</v>
      </c>
      <c r="B186" s="1">
        <v>45670</v>
      </c>
      <c r="C186" t="s">
        <v>400</v>
      </c>
      <c r="D186" t="s">
        <v>427</v>
      </c>
      <c r="E186" t="s">
        <v>431</v>
      </c>
      <c r="F186" t="s">
        <v>434</v>
      </c>
      <c r="G186" t="s">
        <v>437</v>
      </c>
      <c r="H186" t="s">
        <v>439</v>
      </c>
      <c r="I186" t="s">
        <v>443</v>
      </c>
      <c r="J186" s="5" t="str">
        <f t="shared" ca="1" si="5"/>
        <v>3+ Months Ago</v>
      </c>
      <c r="K186" s="6">
        <f t="shared" ca="1" si="4"/>
        <v>3</v>
      </c>
    </row>
    <row r="187" spans="1:11" x14ac:dyDescent="0.35">
      <c r="A187" t="s">
        <v>194</v>
      </c>
      <c r="B187" s="1">
        <v>45757</v>
      </c>
      <c r="C187" t="s">
        <v>401</v>
      </c>
      <c r="D187" t="s">
        <v>423</v>
      </c>
      <c r="E187" t="s">
        <v>429</v>
      </c>
      <c r="F187" t="s">
        <v>434</v>
      </c>
      <c r="G187" t="s">
        <v>436</v>
      </c>
      <c r="H187" t="s">
        <v>441</v>
      </c>
      <c r="I187" t="s">
        <v>443</v>
      </c>
      <c r="J187" s="5" t="str">
        <f t="shared" ca="1" si="5"/>
        <v>3+ Months Ago</v>
      </c>
      <c r="K187" s="6">
        <f t="shared" ca="1" si="4"/>
        <v>3</v>
      </c>
    </row>
    <row r="188" spans="1:11" x14ac:dyDescent="0.35">
      <c r="A188" t="s">
        <v>195</v>
      </c>
      <c r="B188" s="1">
        <v>45723</v>
      </c>
      <c r="C188" t="s">
        <v>402</v>
      </c>
      <c r="D188" t="s">
        <v>423</v>
      </c>
      <c r="E188" t="s">
        <v>428</v>
      </c>
      <c r="F188" t="s">
        <v>433</v>
      </c>
      <c r="G188" t="s">
        <v>436</v>
      </c>
      <c r="H188" t="s">
        <v>440</v>
      </c>
      <c r="I188" t="s">
        <v>442</v>
      </c>
      <c r="J188" s="5" t="str">
        <f t="shared" ca="1" si="5"/>
        <v>3+ Months Ago</v>
      </c>
      <c r="K188" s="6">
        <f t="shared" ca="1" si="4"/>
        <v>3</v>
      </c>
    </row>
    <row r="189" spans="1:11" x14ac:dyDescent="0.35">
      <c r="A189" t="s">
        <v>196</v>
      </c>
      <c r="B189" s="1">
        <v>45819</v>
      </c>
      <c r="C189" t="s">
        <v>403</v>
      </c>
      <c r="D189" t="s">
        <v>426</v>
      </c>
      <c r="E189" t="s">
        <v>431</v>
      </c>
      <c r="F189" t="s">
        <v>433</v>
      </c>
      <c r="G189" t="s">
        <v>437</v>
      </c>
      <c r="H189" t="s">
        <v>439</v>
      </c>
      <c r="I189" t="s">
        <v>442</v>
      </c>
      <c r="J189" s="5" t="str">
        <f t="shared" ca="1" si="5"/>
        <v>3+ Months Ago</v>
      </c>
      <c r="K189" s="6">
        <f t="shared" ca="1" si="4"/>
        <v>3</v>
      </c>
    </row>
    <row r="190" spans="1:11" x14ac:dyDescent="0.35">
      <c r="A190" t="s">
        <v>197</v>
      </c>
      <c r="B190" s="1">
        <v>45842</v>
      </c>
      <c r="C190" t="s">
        <v>404</v>
      </c>
      <c r="D190" t="s">
        <v>426</v>
      </c>
      <c r="E190" t="s">
        <v>432</v>
      </c>
      <c r="F190" t="s">
        <v>434</v>
      </c>
      <c r="G190" t="s">
        <v>437</v>
      </c>
      <c r="H190" t="s">
        <v>441</v>
      </c>
      <c r="I190" t="s">
        <v>443</v>
      </c>
      <c r="J190" s="5" t="str">
        <f t="shared" ca="1" si="5"/>
        <v>3+ Months Ago</v>
      </c>
      <c r="K190" s="6">
        <f t="shared" ca="1" si="4"/>
        <v>3</v>
      </c>
    </row>
    <row r="191" spans="1:11" x14ac:dyDescent="0.35">
      <c r="A191" t="s">
        <v>198</v>
      </c>
      <c r="B191" s="1">
        <v>45696</v>
      </c>
      <c r="C191" t="s">
        <v>405</v>
      </c>
      <c r="D191" t="s">
        <v>427</v>
      </c>
      <c r="E191" t="s">
        <v>428</v>
      </c>
      <c r="F191" t="s">
        <v>433</v>
      </c>
      <c r="G191" t="s">
        <v>437</v>
      </c>
      <c r="H191" t="s">
        <v>440</v>
      </c>
      <c r="I191" t="s">
        <v>442</v>
      </c>
      <c r="J191" s="5" t="str">
        <f t="shared" ca="1" si="5"/>
        <v>3+ Months Ago</v>
      </c>
      <c r="K191" s="6">
        <f t="shared" ca="1" si="4"/>
        <v>3</v>
      </c>
    </row>
    <row r="192" spans="1:11" x14ac:dyDescent="0.35">
      <c r="A192" t="s">
        <v>199</v>
      </c>
      <c r="B192" s="1">
        <v>45681</v>
      </c>
      <c r="C192" t="s">
        <v>406</v>
      </c>
      <c r="D192" t="s">
        <v>424</v>
      </c>
      <c r="E192" t="s">
        <v>428</v>
      </c>
      <c r="F192" t="s">
        <v>434</v>
      </c>
      <c r="G192" t="s">
        <v>438</v>
      </c>
      <c r="H192" t="s">
        <v>440</v>
      </c>
      <c r="I192" t="s">
        <v>443</v>
      </c>
      <c r="J192" s="5" t="str">
        <f t="shared" ca="1" si="5"/>
        <v>3+ Months Ago</v>
      </c>
      <c r="K192" s="6">
        <f t="shared" ca="1" si="4"/>
        <v>3</v>
      </c>
    </row>
    <row r="193" spans="1:11" x14ac:dyDescent="0.35">
      <c r="A193" t="s">
        <v>200</v>
      </c>
      <c r="B193" s="1">
        <v>45720</v>
      </c>
      <c r="C193" t="s">
        <v>407</v>
      </c>
      <c r="D193" t="s">
        <v>426</v>
      </c>
      <c r="E193" t="s">
        <v>431</v>
      </c>
      <c r="F193" t="s">
        <v>434</v>
      </c>
      <c r="G193" t="s">
        <v>435</v>
      </c>
      <c r="H193" t="s">
        <v>441</v>
      </c>
      <c r="I193" t="s">
        <v>443</v>
      </c>
      <c r="J193" s="5" t="str">
        <f t="shared" ca="1" si="5"/>
        <v>3+ Months Ago</v>
      </c>
      <c r="K193" s="6">
        <f t="shared" ca="1" si="4"/>
        <v>3</v>
      </c>
    </row>
    <row r="194" spans="1:11" x14ac:dyDescent="0.35">
      <c r="A194" t="s">
        <v>201</v>
      </c>
      <c r="B194" s="1">
        <v>45798</v>
      </c>
      <c r="C194" t="s">
        <v>408</v>
      </c>
      <c r="D194" t="s">
        <v>425</v>
      </c>
      <c r="E194" t="s">
        <v>428</v>
      </c>
      <c r="F194" t="s">
        <v>434</v>
      </c>
      <c r="G194" t="s">
        <v>437</v>
      </c>
      <c r="H194" t="s">
        <v>439</v>
      </c>
      <c r="I194" t="s">
        <v>443</v>
      </c>
      <c r="J194" s="5" t="str">
        <f t="shared" ca="1" si="5"/>
        <v>3+ Months Ago</v>
      </c>
      <c r="K194" s="6">
        <f t="shared" ref="K194:K209" ca="1" si="6">IF(J194="Within last 30 Days",1, IF(J194="1-2 Months Ago",2, IF(J194="3+ Months Ago",3,"")))</f>
        <v>3</v>
      </c>
    </row>
    <row r="195" spans="1:11" x14ac:dyDescent="0.35">
      <c r="A195" t="s">
        <v>202</v>
      </c>
      <c r="B195" s="1">
        <v>45738</v>
      </c>
      <c r="C195" t="s">
        <v>409</v>
      </c>
      <c r="D195" t="s">
        <v>423</v>
      </c>
      <c r="E195" t="s">
        <v>429</v>
      </c>
      <c r="F195" t="s">
        <v>433</v>
      </c>
      <c r="G195" t="s">
        <v>437</v>
      </c>
      <c r="H195" t="s">
        <v>441</v>
      </c>
      <c r="I195" t="s">
        <v>442</v>
      </c>
      <c r="J195" s="5" t="str">
        <f t="shared" ref="J195:J209" ca="1" si="7">IF(TODAY()-B195&lt;=30, "Within last 30 Days", IF(TODAY()-B195&lt;=60, "1-2 Months Ago", "3+ Months Ago"))</f>
        <v>3+ Months Ago</v>
      </c>
      <c r="K195" s="6">
        <f t="shared" ca="1" si="6"/>
        <v>3</v>
      </c>
    </row>
    <row r="196" spans="1:11" x14ac:dyDescent="0.35">
      <c r="A196" t="s">
        <v>203</v>
      </c>
      <c r="B196" s="1">
        <v>45847</v>
      </c>
      <c r="C196" t="s">
        <v>410</v>
      </c>
      <c r="D196" t="s">
        <v>426</v>
      </c>
      <c r="E196" t="s">
        <v>428</v>
      </c>
      <c r="F196" t="s">
        <v>434</v>
      </c>
      <c r="G196" t="s">
        <v>438</v>
      </c>
      <c r="H196" t="s">
        <v>440</v>
      </c>
      <c r="I196" t="s">
        <v>443</v>
      </c>
      <c r="J196" s="5" t="str">
        <f t="shared" ca="1" si="7"/>
        <v>3+ Months Ago</v>
      </c>
      <c r="K196" s="6">
        <f t="shared" ca="1" si="6"/>
        <v>3</v>
      </c>
    </row>
    <row r="197" spans="1:11" x14ac:dyDescent="0.35">
      <c r="A197" t="s">
        <v>204</v>
      </c>
      <c r="B197" s="1">
        <v>45730</v>
      </c>
      <c r="C197" t="s">
        <v>411</v>
      </c>
      <c r="D197" t="s">
        <v>423</v>
      </c>
      <c r="E197" t="s">
        <v>428</v>
      </c>
      <c r="F197" t="s">
        <v>433</v>
      </c>
      <c r="G197" t="s">
        <v>436</v>
      </c>
      <c r="H197" t="s">
        <v>440</v>
      </c>
      <c r="I197" t="s">
        <v>442</v>
      </c>
      <c r="J197" s="5" t="str">
        <f t="shared" ca="1" si="7"/>
        <v>3+ Months Ago</v>
      </c>
      <c r="K197" s="6">
        <f t="shared" ca="1" si="6"/>
        <v>3</v>
      </c>
    </row>
    <row r="198" spans="1:11" x14ac:dyDescent="0.35">
      <c r="A198" t="s">
        <v>205</v>
      </c>
      <c r="B198" s="1">
        <v>45743</v>
      </c>
      <c r="C198" t="s">
        <v>412</v>
      </c>
      <c r="D198" t="s">
        <v>424</v>
      </c>
      <c r="E198" t="s">
        <v>429</v>
      </c>
      <c r="F198" t="s">
        <v>434</v>
      </c>
      <c r="G198" t="s">
        <v>438</v>
      </c>
      <c r="H198" t="s">
        <v>439</v>
      </c>
      <c r="I198" t="s">
        <v>443</v>
      </c>
      <c r="J198" s="5" t="str">
        <f t="shared" ca="1" si="7"/>
        <v>3+ Months Ago</v>
      </c>
      <c r="K198" s="6">
        <f t="shared" ca="1" si="6"/>
        <v>3</v>
      </c>
    </row>
    <row r="199" spans="1:11" x14ac:dyDescent="0.35">
      <c r="A199" t="s">
        <v>206</v>
      </c>
      <c r="B199" s="1">
        <v>45707</v>
      </c>
      <c r="C199" t="s">
        <v>361</v>
      </c>
      <c r="D199" t="s">
        <v>423</v>
      </c>
      <c r="E199" t="s">
        <v>432</v>
      </c>
      <c r="F199" t="s">
        <v>433</v>
      </c>
      <c r="G199" t="s">
        <v>438</v>
      </c>
      <c r="H199" t="s">
        <v>440</v>
      </c>
      <c r="I199" t="s">
        <v>442</v>
      </c>
      <c r="J199" s="5" t="str">
        <f t="shared" ca="1" si="7"/>
        <v>3+ Months Ago</v>
      </c>
      <c r="K199" s="6">
        <f t="shared" ca="1" si="6"/>
        <v>3</v>
      </c>
    </row>
    <row r="200" spans="1:11" x14ac:dyDescent="0.35">
      <c r="A200" t="s">
        <v>207</v>
      </c>
      <c r="B200" s="1">
        <v>45688</v>
      </c>
      <c r="C200" t="s">
        <v>413</v>
      </c>
      <c r="D200" t="s">
        <v>427</v>
      </c>
      <c r="E200" t="s">
        <v>430</v>
      </c>
      <c r="F200" t="s">
        <v>433</v>
      </c>
      <c r="G200" t="s">
        <v>438</v>
      </c>
      <c r="H200" t="s">
        <v>441</v>
      </c>
      <c r="I200" t="s">
        <v>442</v>
      </c>
      <c r="J200" s="5" t="str">
        <f t="shared" ca="1" si="7"/>
        <v>3+ Months Ago</v>
      </c>
      <c r="K200" s="6">
        <f t="shared" ca="1" si="6"/>
        <v>3</v>
      </c>
    </row>
    <row r="201" spans="1:11" x14ac:dyDescent="0.35">
      <c r="A201" t="s">
        <v>208</v>
      </c>
      <c r="B201" s="1">
        <v>45814</v>
      </c>
      <c r="C201" t="s">
        <v>414</v>
      </c>
      <c r="D201" t="s">
        <v>426</v>
      </c>
      <c r="E201" t="s">
        <v>432</v>
      </c>
      <c r="F201" t="s">
        <v>433</v>
      </c>
      <c r="G201" t="s">
        <v>438</v>
      </c>
      <c r="H201" t="s">
        <v>441</v>
      </c>
      <c r="I201" t="s">
        <v>442</v>
      </c>
      <c r="J201" s="5" t="str">
        <f t="shared" ca="1" si="7"/>
        <v>3+ Months Ago</v>
      </c>
      <c r="K201" s="6">
        <f t="shared" ca="1" si="6"/>
        <v>3</v>
      </c>
    </row>
    <row r="202" spans="1:11" x14ac:dyDescent="0.35">
      <c r="A202" t="s">
        <v>209</v>
      </c>
      <c r="B202" s="1">
        <v>45698</v>
      </c>
      <c r="C202" t="s">
        <v>415</v>
      </c>
      <c r="D202" t="s">
        <v>426</v>
      </c>
      <c r="E202" t="s">
        <v>429</v>
      </c>
      <c r="F202" t="s">
        <v>434</v>
      </c>
      <c r="G202" t="s">
        <v>435</v>
      </c>
      <c r="H202" t="s">
        <v>440</v>
      </c>
      <c r="I202" t="s">
        <v>443</v>
      </c>
      <c r="J202" s="5" t="str">
        <f t="shared" ca="1" si="7"/>
        <v>3+ Months Ago</v>
      </c>
      <c r="K202" s="6">
        <f t="shared" ca="1" si="6"/>
        <v>3</v>
      </c>
    </row>
    <row r="203" spans="1:11" x14ac:dyDescent="0.35">
      <c r="A203" t="s">
        <v>210</v>
      </c>
      <c r="B203" s="1">
        <v>45721</v>
      </c>
      <c r="C203" t="s">
        <v>416</v>
      </c>
      <c r="D203" t="s">
        <v>426</v>
      </c>
      <c r="E203" t="s">
        <v>428</v>
      </c>
      <c r="F203" t="s">
        <v>433</v>
      </c>
      <c r="G203" t="s">
        <v>437</v>
      </c>
      <c r="H203" t="s">
        <v>441</v>
      </c>
      <c r="I203" t="s">
        <v>442</v>
      </c>
      <c r="J203" s="5" t="str">
        <f t="shared" ca="1" si="7"/>
        <v>3+ Months Ago</v>
      </c>
      <c r="K203" s="6">
        <f t="shared" ca="1" si="6"/>
        <v>3</v>
      </c>
    </row>
    <row r="204" spans="1:11" x14ac:dyDescent="0.35">
      <c r="A204" t="s">
        <v>211</v>
      </c>
      <c r="B204" s="1">
        <v>45844</v>
      </c>
      <c r="C204" t="s">
        <v>417</v>
      </c>
      <c r="D204" t="s">
        <v>424</v>
      </c>
      <c r="E204" t="s">
        <v>428</v>
      </c>
      <c r="F204" t="s">
        <v>433</v>
      </c>
      <c r="G204" t="s">
        <v>435</v>
      </c>
      <c r="H204" t="s">
        <v>441</v>
      </c>
      <c r="I204" t="s">
        <v>442</v>
      </c>
      <c r="J204" s="5" t="str">
        <f t="shared" ca="1" si="7"/>
        <v>3+ Months Ago</v>
      </c>
      <c r="K204" s="6">
        <f t="shared" ca="1" si="6"/>
        <v>3</v>
      </c>
    </row>
    <row r="205" spans="1:11" x14ac:dyDescent="0.35">
      <c r="A205" t="s">
        <v>212</v>
      </c>
      <c r="B205" s="1">
        <v>45785</v>
      </c>
      <c r="C205" t="s">
        <v>418</v>
      </c>
      <c r="D205" t="s">
        <v>426</v>
      </c>
      <c r="E205" t="s">
        <v>431</v>
      </c>
      <c r="F205" t="s">
        <v>433</v>
      </c>
      <c r="G205" t="s">
        <v>437</v>
      </c>
      <c r="H205" t="s">
        <v>439</v>
      </c>
      <c r="I205" t="s">
        <v>442</v>
      </c>
      <c r="J205" s="5" t="str">
        <f t="shared" ca="1" si="7"/>
        <v>3+ Months Ago</v>
      </c>
      <c r="K205" s="6">
        <f t="shared" ca="1" si="6"/>
        <v>3</v>
      </c>
    </row>
    <row r="206" spans="1:11" x14ac:dyDescent="0.35">
      <c r="A206" t="s">
        <v>213</v>
      </c>
      <c r="B206" s="1">
        <v>45808</v>
      </c>
      <c r="C206" t="s">
        <v>419</v>
      </c>
      <c r="D206" t="s">
        <v>427</v>
      </c>
      <c r="E206" t="s">
        <v>430</v>
      </c>
      <c r="F206" t="s">
        <v>433</v>
      </c>
      <c r="G206" t="s">
        <v>438</v>
      </c>
      <c r="H206" t="s">
        <v>441</v>
      </c>
      <c r="I206" t="s">
        <v>442</v>
      </c>
      <c r="J206" s="5" t="str">
        <f t="shared" ca="1" si="7"/>
        <v>3+ Months Ago</v>
      </c>
      <c r="K206" s="6">
        <f t="shared" ca="1" si="6"/>
        <v>3</v>
      </c>
    </row>
    <row r="207" spans="1:11" x14ac:dyDescent="0.35">
      <c r="A207" t="s">
        <v>214</v>
      </c>
      <c r="B207" s="1">
        <v>45736</v>
      </c>
      <c r="C207" t="s">
        <v>420</v>
      </c>
      <c r="D207" t="s">
        <v>423</v>
      </c>
      <c r="E207" t="s">
        <v>430</v>
      </c>
      <c r="F207" t="s">
        <v>434</v>
      </c>
      <c r="G207" t="s">
        <v>435</v>
      </c>
      <c r="H207" t="s">
        <v>439</v>
      </c>
      <c r="I207" t="s">
        <v>443</v>
      </c>
      <c r="J207" s="5" t="str">
        <f t="shared" ca="1" si="7"/>
        <v>3+ Months Ago</v>
      </c>
      <c r="K207" s="6">
        <f t="shared" ca="1" si="6"/>
        <v>3</v>
      </c>
    </row>
    <row r="208" spans="1:11" x14ac:dyDescent="0.35">
      <c r="A208" t="s">
        <v>215</v>
      </c>
      <c r="B208" s="1">
        <v>45772</v>
      </c>
      <c r="C208" t="s">
        <v>421</v>
      </c>
      <c r="D208" t="s">
        <v>426</v>
      </c>
      <c r="E208" t="s">
        <v>428</v>
      </c>
      <c r="F208" t="s">
        <v>433</v>
      </c>
      <c r="G208" t="s">
        <v>438</v>
      </c>
      <c r="H208" t="s">
        <v>440</v>
      </c>
      <c r="I208" t="s">
        <v>442</v>
      </c>
      <c r="J208" s="5" t="str">
        <f t="shared" ca="1" si="7"/>
        <v>3+ Months Ago</v>
      </c>
      <c r="K208" s="6">
        <f t="shared" ca="1" si="6"/>
        <v>3</v>
      </c>
    </row>
    <row r="209" spans="1:11" x14ac:dyDescent="0.35">
      <c r="A209" t="s">
        <v>216</v>
      </c>
      <c r="B209" s="1">
        <v>45708</v>
      </c>
      <c r="C209" t="s">
        <v>422</v>
      </c>
      <c r="D209" t="s">
        <v>424</v>
      </c>
      <c r="E209" t="s">
        <v>429</v>
      </c>
      <c r="F209" t="s">
        <v>434</v>
      </c>
      <c r="G209" t="s">
        <v>438</v>
      </c>
      <c r="H209" t="s">
        <v>439</v>
      </c>
      <c r="I209" t="s">
        <v>443</v>
      </c>
      <c r="J209" s="5" t="str">
        <f t="shared" ca="1" si="7"/>
        <v>3+ Months Ago</v>
      </c>
      <c r="K209" s="6">
        <f t="shared" ca="1" si="6"/>
        <v>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E4BB7-1D44-40D2-9D52-43BAB34595CF}">
  <dimension ref="A1:H239"/>
  <sheetViews>
    <sheetView workbookViewId="0">
      <selection activeCell="C29" sqref="C29"/>
    </sheetView>
  </sheetViews>
  <sheetFormatPr defaultRowHeight="14.5" x14ac:dyDescent="0.35"/>
  <cols>
    <col min="1" max="1" width="17.7265625" bestFit="1" customWidth="1"/>
    <col min="2" max="2" width="13.90625" bestFit="1" customWidth="1"/>
    <col min="3" max="4" width="15.36328125" bestFit="1" customWidth="1"/>
    <col min="5" max="5" width="10.7265625" bestFit="1" customWidth="1"/>
    <col min="7" max="7" width="28.54296875" bestFit="1" customWidth="1"/>
    <col min="8" max="8" width="20.453125" bestFit="1" customWidth="1"/>
    <col min="9" max="10" width="15.36328125" bestFit="1" customWidth="1"/>
    <col min="11" max="12" width="10.7265625" bestFit="1" customWidth="1"/>
  </cols>
  <sheetData>
    <row r="1" spans="1:8" x14ac:dyDescent="0.35">
      <c r="A1" s="3" t="s">
        <v>446</v>
      </c>
      <c r="C1" s="3" t="s">
        <v>5</v>
      </c>
      <c r="G1" s="3" t="s">
        <v>3</v>
      </c>
      <c r="H1" t="s">
        <v>447</v>
      </c>
    </row>
    <row r="2" spans="1:8" x14ac:dyDescent="0.35">
      <c r="A2" s="3" t="s">
        <v>453</v>
      </c>
      <c r="B2" s="3" t="s">
        <v>1</v>
      </c>
      <c r="C2" t="s">
        <v>433</v>
      </c>
      <c r="D2" t="s">
        <v>434</v>
      </c>
      <c r="E2" t="s">
        <v>445</v>
      </c>
      <c r="G2" s="3" t="s">
        <v>5</v>
      </c>
      <c r="H2" t="s">
        <v>447</v>
      </c>
    </row>
    <row r="3" spans="1:8" x14ac:dyDescent="0.35">
      <c r="A3" t="s">
        <v>454</v>
      </c>
      <c r="C3">
        <v>14</v>
      </c>
      <c r="D3">
        <v>8</v>
      </c>
      <c r="E3">
        <v>22</v>
      </c>
    </row>
    <row r="4" spans="1:8" x14ac:dyDescent="0.35">
      <c r="A4" t="s">
        <v>455</v>
      </c>
      <c r="C4">
        <v>30</v>
      </c>
      <c r="D4">
        <v>10</v>
      </c>
      <c r="E4">
        <v>40</v>
      </c>
      <c r="G4" s="3" t="s">
        <v>7</v>
      </c>
      <c r="H4" t="s">
        <v>446</v>
      </c>
    </row>
    <row r="5" spans="1:8" x14ac:dyDescent="0.35">
      <c r="A5" t="s">
        <v>456</v>
      </c>
      <c r="C5">
        <v>26</v>
      </c>
      <c r="D5">
        <v>10</v>
      </c>
      <c r="E5">
        <v>36</v>
      </c>
      <c r="G5" t="s">
        <v>440</v>
      </c>
      <c r="H5">
        <v>67</v>
      </c>
    </row>
    <row r="6" spans="1:8" x14ac:dyDescent="0.35">
      <c r="A6" t="s">
        <v>457</v>
      </c>
      <c r="C6">
        <v>20</v>
      </c>
      <c r="D6">
        <v>7</v>
      </c>
      <c r="E6">
        <v>27</v>
      </c>
      <c r="G6" t="s">
        <v>439</v>
      </c>
      <c r="H6">
        <v>75</v>
      </c>
    </row>
    <row r="7" spans="1:8" x14ac:dyDescent="0.35">
      <c r="A7" t="s">
        <v>458</v>
      </c>
      <c r="C7">
        <v>24</v>
      </c>
      <c r="D7">
        <v>11</v>
      </c>
      <c r="E7">
        <v>35</v>
      </c>
      <c r="G7" t="s">
        <v>441</v>
      </c>
      <c r="H7">
        <v>66</v>
      </c>
    </row>
    <row r="8" spans="1:8" x14ac:dyDescent="0.35">
      <c r="A8" t="s">
        <v>459</v>
      </c>
      <c r="C8">
        <v>20</v>
      </c>
      <c r="D8">
        <v>6</v>
      </c>
      <c r="E8">
        <v>26</v>
      </c>
      <c r="G8" t="s">
        <v>445</v>
      </c>
      <c r="H8">
        <v>208</v>
      </c>
    </row>
    <row r="9" spans="1:8" x14ac:dyDescent="0.35">
      <c r="A9" t="s">
        <v>460</v>
      </c>
      <c r="C9">
        <v>17</v>
      </c>
      <c r="D9">
        <v>5</v>
      </c>
      <c r="E9">
        <v>22</v>
      </c>
    </row>
    <row r="10" spans="1:8" x14ac:dyDescent="0.35">
      <c r="A10" t="s">
        <v>445</v>
      </c>
      <c r="C10">
        <v>151</v>
      </c>
      <c r="D10">
        <v>57</v>
      </c>
      <c r="E10">
        <v>208</v>
      </c>
    </row>
    <row r="12" spans="1:8" x14ac:dyDescent="0.35">
      <c r="A12" s="3" t="s">
        <v>3</v>
      </c>
      <c r="B12" t="s">
        <v>447</v>
      </c>
    </row>
    <row r="13" spans="1:8" x14ac:dyDescent="0.35">
      <c r="A13" s="3" t="s">
        <v>5</v>
      </c>
      <c r="B13" t="s">
        <v>447</v>
      </c>
    </row>
    <row r="15" spans="1:8" x14ac:dyDescent="0.35">
      <c r="A15" s="3" t="s">
        <v>4</v>
      </c>
      <c r="B15" t="s">
        <v>446</v>
      </c>
      <c r="G15" s="3" t="s">
        <v>5</v>
      </c>
      <c r="H15" t="s">
        <v>447</v>
      </c>
    </row>
    <row r="16" spans="1:8" x14ac:dyDescent="0.35">
      <c r="A16" t="s">
        <v>428</v>
      </c>
      <c r="B16">
        <v>46</v>
      </c>
      <c r="G16" s="3" t="s">
        <v>3</v>
      </c>
      <c r="H16" t="s">
        <v>447</v>
      </c>
    </row>
    <row r="17" spans="1:8" x14ac:dyDescent="0.35">
      <c r="A17" t="s">
        <v>432</v>
      </c>
      <c r="B17">
        <v>36</v>
      </c>
    </row>
    <row r="18" spans="1:8" x14ac:dyDescent="0.35">
      <c r="A18" t="s">
        <v>430</v>
      </c>
      <c r="B18">
        <v>38</v>
      </c>
      <c r="G18" s="3" t="s">
        <v>444</v>
      </c>
      <c r="H18" t="s">
        <v>446</v>
      </c>
    </row>
    <row r="19" spans="1:8" x14ac:dyDescent="0.35">
      <c r="A19" t="s">
        <v>429</v>
      </c>
      <c r="B19">
        <v>44</v>
      </c>
      <c r="G19" t="s">
        <v>449</v>
      </c>
      <c r="H19">
        <v>32</v>
      </c>
    </row>
    <row r="20" spans="1:8" x14ac:dyDescent="0.35">
      <c r="A20" t="s">
        <v>431</v>
      </c>
      <c r="B20">
        <v>44</v>
      </c>
      <c r="G20" t="s">
        <v>450</v>
      </c>
      <c r="H20">
        <v>141</v>
      </c>
    </row>
    <row r="21" spans="1:8" x14ac:dyDescent="0.35">
      <c r="A21" t="s">
        <v>445</v>
      </c>
      <c r="B21">
        <v>208</v>
      </c>
      <c r="G21" t="s">
        <v>451</v>
      </c>
      <c r="H21">
        <v>35</v>
      </c>
    </row>
    <row r="22" spans="1:8" x14ac:dyDescent="0.35">
      <c r="G22" t="s">
        <v>445</v>
      </c>
      <c r="H22">
        <v>208</v>
      </c>
    </row>
    <row r="25" spans="1:8" x14ac:dyDescent="0.35">
      <c r="G25" s="3" t="s">
        <v>6</v>
      </c>
      <c r="H25" t="s">
        <v>446</v>
      </c>
    </row>
    <row r="26" spans="1:8" x14ac:dyDescent="0.35">
      <c r="A26" s="3" t="s">
        <v>4</v>
      </c>
      <c r="B26" t="s">
        <v>447</v>
      </c>
      <c r="G26" t="s">
        <v>437</v>
      </c>
      <c r="H26">
        <v>56</v>
      </c>
    </row>
    <row r="27" spans="1:8" x14ac:dyDescent="0.35">
      <c r="A27" s="3" t="s">
        <v>7</v>
      </c>
      <c r="B27" t="s">
        <v>447</v>
      </c>
      <c r="G27" t="s">
        <v>436</v>
      </c>
      <c r="H27">
        <v>51</v>
      </c>
    </row>
    <row r="28" spans="1:8" x14ac:dyDescent="0.35">
      <c r="G28" t="s">
        <v>435</v>
      </c>
      <c r="H28">
        <v>54</v>
      </c>
    </row>
    <row r="29" spans="1:8" x14ac:dyDescent="0.35">
      <c r="A29" s="3" t="s">
        <v>3</v>
      </c>
      <c r="B29" t="s">
        <v>448</v>
      </c>
      <c r="G29" t="s">
        <v>438</v>
      </c>
      <c r="H29">
        <v>47</v>
      </c>
    </row>
    <row r="30" spans="1:8" x14ac:dyDescent="0.35">
      <c r="A30" t="s">
        <v>425</v>
      </c>
      <c r="B30">
        <v>39</v>
      </c>
      <c r="G30" t="s">
        <v>445</v>
      </c>
      <c r="H30">
        <v>208</v>
      </c>
    </row>
    <row r="31" spans="1:8" x14ac:dyDescent="0.35">
      <c r="A31" t="s">
        <v>427</v>
      </c>
      <c r="B31">
        <v>42</v>
      </c>
    </row>
    <row r="32" spans="1:8" x14ac:dyDescent="0.35">
      <c r="A32" t="s">
        <v>426</v>
      </c>
      <c r="B32">
        <v>43</v>
      </c>
      <c r="G32" s="3" t="s">
        <v>2</v>
      </c>
      <c r="H32" t="s">
        <v>446</v>
      </c>
    </row>
    <row r="33" spans="1:8" x14ac:dyDescent="0.35">
      <c r="A33" t="s">
        <v>423</v>
      </c>
      <c r="B33">
        <v>41</v>
      </c>
      <c r="G33" t="s">
        <v>408</v>
      </c>
      <c r="H33">
        <v>1</v>
      </c>
    </row>
    <row r="34" spans="1:8" x14ac:dyDescent="0.35">
      <c r="A34" t="s">
        <v>424</v>
      </c>
      <c r="B34">
        <v>43</v>
      </c>
      <c r="G34" t="s">
        <v>327</v>
      </c>
      <c r="H34">
        <v>1</v>
      </c>
    </row>
    <row r="35" spans="1:8" x14ac:dyDescent="0.35">
      <c r="A35" t="s">
        <v>445</v>
      </c>
      <c r="B35">
        <v>208</v>
      </c>
      <c r="G35" t="s">
        <v>298</v>
      </c>
      <c r="H35">
        <v>1</v>
      </c>
    </row>
    <row r="36" spans="1:8" x14ac:dyDescent="0.35">
      <c r="G36" t="s">
        <v>349</v>
      </c>
      <c r="H36">
        <v>1</v>
      </c>
    </row>
    <row r="37" spans="1:8" x14ac:dyDescent="0.35">
      <c r="G37" t="s">
        <v>369</v>
      </c>
      <c r="H37">
        <v>1</v>
      </c>
    </row>
    <row r="38" spans="1:8" x14ac:dyDescent="0.35">
      <c r="G38" t="s">
        <v>407</v>
      </c>
      <c r="H38">
        <v>1</v>
      </c>
    </row>
    <row r="39" spans="1:8" x14ac:dyDescent="0.35">
      <c r="G39" t="s">
        <v>328</v>
      </c>
      <c r="H39">
        <v>1</v>
      </c>
    </row>
    <row r="40" spans="1:8" x14ac:dyDescent="0.35">
      <c r="G40" t="s">
        <v>281</v>
      </c>
      <c r="H40">
        <v>1</v>
      </c>
    </row>
    <row r="41" spans="1:8" x14ac:dyDescent="0.35">
      <c r="G41" t="s">
        <v>269</v>
      </c>
      <c r="H41">
        <v>1</v>
      </c>
    </row>
    <row r="42" spans="1:8" x14ac:dyDescent="0.35">
      <c r="G42" t="s">
        <v>306</v>
      </c>
      <c r="H42">
        <v>1</v>
      </c>
    </row>
    <row r="43" spans="1:8" x14ac:dyDescent="0.35">
      <c r="G43" t="s">
        <v>399</v>
      </c>
      <c r="H43">
        <v>1</v>
      </c>
    </row>
    <row r="44" spans="1:8" x14ac:dyDescent="0.35">
      <c r="G44" t="s">
        <v>420</v>
      </c>
      <c r="H44">
        <v>1</v>
      </c>
    </row>
    <row r="45" spans="1:8" x14ac:dyDescent="0.35">
      <c r="G45" t="s">
        <v>242</v>
      </c>
      <c r="H45">
        <v>1</v>
      </c>
    </row>
    <row r="46" spans="1:8" x14ac:dyDescent="0.35">
      <c r="G46" t="s">
        <v>350</v>
      </c>
      <c r="H46">
        <v>1</v>
      </c>
    </row>
    <row r="47" spans="1:8" x14ac:dyDescent="0.35">
      <c r="G47" t="s">
        <v>247</v>
      </c>
      <c r="H47">
        <v>1</v>
      </c>
    </row>
    <row r="48" spans="1:8" x14ac:dyDescent="0.35">
      <c r="G48" t="s">
        <v>393</v>
      </c>
      <c r="H48">
        <v>1</v>
      </c>
    </row>
    <row r="49" spans="7:8" x14ac:dyDescent="0.35">
      <c r="G49" t="s">
        <v>356</v>
      </c>
      <c r="H49">
        <v>1</v>
      </c>
    </row>
    <row r="50" spans="7:8" x14ac:dyDescent="0.35">
      <c r="G50" t="s">
        <v>266</v>
      </c>
      <c r="H50">
        <v>1</v>
      </c>
    </row>
    <row r="51" spans="7:8" x14ac:dyDescent="0.35">
      <c r="G51" t="s">
        <v>370</v>
      </c>
      <c r="H51">
        <v>1</v>
      </c>
    </row>
    <row r="52" spans="7:8" x14ac:dyDescent="0.35">
      <c r="G52" t="s">
        <v>410</v>
      </c>
      <c r="H52">
        <v>1</v>
      </c>
    </row>
    <row r="53" spans="7:8" x14ac:dyDescent="0.35">
      <c r="G53" t="s">
        <v>417</v>
      </c>
      <c r="H53">
        <v>1</v>
      </c>
    </row>
    <row r="54" spans="7:8" x14ac:dyDescent="0.35">
      <c r="G54" t="s">
        <v>383</v>
      </c>
      <c r="H54">
        <v>1</v>
      </c>
    </row>
    <row r="55" spans="7:8" x14ac:dyDescent="0.35">
      <c r="G55" t="s">
        <v>377</v>
      </c>
      <c r="H55">
        <v>1</v>
      </c>
    </row>
    <row r="56" spans="7:8" x14ac:dyDescent="0.35">
      <c r="G56" t="s">
        <v>355</v>
      </c>
      <c r="H56">
        <v>1</v>
      </c>
    </row>
    <row r="57" spans="7:8" x14ac:dyDescent="0.35">
      <c r="G57" t="s">
        <v>414</v>
      </c>
      <c r="H57">
        <v>1</v>
      </c>
    </row>
    <row r="58" spans="7:8" x14ac:dyDescent="0.35">
      <c r="G58" t="s">
        <v>279</v>
      </c>
      <c r="H58">
        <v>1</v>
      </c>
    </row>
    <row r="59" spans="7:8" x14ac:dyDescent="0.35">
      <c r="G59" t="s">
        <v>320</v>
      </c>
      <c r="H59">
        <v>1</v>
      </c>
    </row>
    <row r="60" spans="7:8" x14ac:dyDescent="0.35">
      <c r="G60" t="s">
        <v>376</v>
      </c>
      <c r="H60">
        <v>1</v>
      </c>
    </row>
    <row r="61" spans="7:8" x14ac:dyDescent="0.35">
      <c r="G61" t="s">
        <v>234</v>
      </c>
      <c r="H61">
        <v>1</v>
      </c>
    </row>
    <row r="62" spans="7:8" x14ac:dyDescent="0.35">
      <c r="G62" t="s">
        <v>296</v>
      </c>
      <c r="H62">
        <v>1</v>
      </c>
    </row>
    <row r="63" spans="7:8" x14ac:dyDescent="0.35">
      <c r="G63" t="s">
        <v>329</v>
      </c>
      <c r="H63">
        <v>1</v>
      </c>
    </row>
    <row r="64" spans="7:8" x14ac:dyDescent="0.35">
      <c r="G64" t="s">
        <v>352</v>
      </c>
      <c r="H64">
        <v>1</v>
      </c>
    </row>
    <row r="65" spans="7:8" x14ac:dyDescent="0.35">
      <c r="G65" t="s">
        <v>318</v>
      </c>
      <c r="H65">
        <v>1</v>
      </c>
    </row>
    <row r="66" spans="7:8" x14ac:dyDescent="0.35">
      <c r="G66" t="s">
        <v>246</v>
      </c>
      <c r="H66">
        <v>1</v>
      </c>
    </row>
    <row r="67" spans="7:8" x14ac:dyDescent="0.35">
      <c r="G67" t="s">
        <v>235</v>
      </c>
      <c r="H67">
        <v>1</v>
      </c>
    </row>
    <row r="68" spans="7:8" x14ac:dyDescent="0.35">
      <c r="G68" t="s">
        <v>344</v>
      </c>
      <c r="H68">
        <v>1</v>
      </c>
    </row>
    <row r="69" spans="7:8" x14ac:dyDescent="0.35">
      <c r="G69" t="s">
        <v>259</v>
      </c>
      <c r="H69">
        <v>1</v>
      </c>
    </row>
    <row r="70" spans="7:8" x14ac:dyDescent="0.35">
      <c r="G70" t="s">
        <v>396</v>
      </c>
      <c r="H70">
        <v>1</v>
      </c>
    </row>
    <row r="71" spans="7:8" x14ac:dyDescent="0.35">
      <c r="G71" t="s">
        <v>342</v>
      </c>
      <c r="H71">
        <v>1</v>
      </c>
    </row>
    <row r="72" spans="7:8" x14ac:dyDescent="0.35">
      <c r="G72" t="s">
        <v>285</v>
      </c>
      <c r="H72">
        <v>1</v>
      </c>
    </row>
    <row r="73" spans="7:8" x14ac:dyDescent="0.35">
      <c r="G73" t="s">
        <v>391</v>
      </c>
      <c r="H73">
        <v>1</v>
      </c>
    </row>
    <row r="74" spans="7:8" x14ac:dyDescent="0.35">
      <c r="G74" t="s">
        <v>354</v>
      </c>
      <c r="H74">
        <v>1</v>
      </c>
    </row>
    <row r="75" spans="7:8" x14ac:dyDescent="0.35">
      <c r="G75" t="s">
        <v>405</v>
      </c>
      <c r="H75">
        <v>1</v>
      </c>
    </row>
    <row r="76" spans="7:8" x14ac:dyDescent="0.35">
      <c r="G76" t="s">
        <v>245</v>
      </c>
      <c r="H76">
        <v>1</v>
      </c>
    </row>
    <row r="77" spans="7:8" x14ac:dyDescent="0.35">
      <c r="G77" t="s">
        <v>305</v>
      </c>
      <c r="H77">
        <v>1</v>
      </c>
    </row>
    <row r="78" spans="7:8" x14ac:dyDescent="0.35">
      <c r="G78" t="s">
        <v>297</v>
      </c>
      <c r="H78">
        <v>1</v>
      </c>
    </row>
    <row r="79" spans="7:8" x14ac:dyDescent="0.35">
      <c r="G79" t="s">
        <v>317</v>
      </c>
      <c r="H79">
        <v>1</v>
      </c>
    </row>
    <row r="80" spans="7:8" x14ac:dyDescent="0.35">
      <c r="G80" t="s">
        <v>276</v>
      </c>
      <c r="H80">
        <v>1</v>
      </c>
    </row>
    <row r="81" spans="7:8" x14ac:dyDescent="0.35">
      <c r="G81" t="s">
        <v>225</v>
      </c>
      <c r="H81">
        <v>1</v>
      </c>
    </row>
    <row r="82" spans="7:8" x14ac:dyDescent="0.35">
      <c r="G82" t="s">
        <v>230</v>
      </c>
      <c r="H82">
        <v>1</v>
      </c>
    </row>
    <row r="83" spans="7:8" x14ac:dyDescent="0.35">
      <c r="G83" t="s">
        <v>231</v>
      </c>
      <c r="H83">
        <v>1</v>
      </c>
    </row>
    <row r="84" spans="7:8" x14ac:dyDescent="0.35">
      <c r="G84" t="s">
        <v>397</v>
      </c>
      <c r="H84">
        <v>1</v>
      </c>
    </row>
    <row r="85" spans="7:8" x14ac:dyDescent="0.35">
      <c r="G85" t="s">
        <v>363</v>
      </c>
      <c r="H85">
        <v>1</v>
      </c>
    </row>
    <row r="86" spans="7:8" x14ac:dyDescent="0.35">
      <c r="G86" t="s">
        <v>248</v>
      </c>
      <c r="H86">
        <v>1</v>
      </c>
    </row>
    <row r="87" spans="7:8" x14ac:dyDescent="0.35">
      <c r="G87" t="s">
        <v>358</v>
      </c>
      <c r="H87">
        <v>1</v>
      </c>
    </row>
    <row r="88" spans="7:8" x14ac:dyDescent="0.35">
      <c r="G88" t="s">
        <v>292</v>
      </c>
      <c r="H88">
        <v>1</v>
      </c>
    </row>
    <row r="89" spans="7:8" x14ac:dyDescent="0.35">
      <c r="G89" t="s">
        <v>319</v>
      </c>
      <c r="H89">
        <v>1</v>
      </c>
    </row>
    <row r="90" spans="7:8" x14ac:dyDescent="0.35">
      <c r="G90" t="s">
        <v>251</v>
      </c>
      <c r="H90">
        <v>1</v>
      </c>
    </row>
    <row r="91" spans="7:8" x14ac:dyDescent="0.35">
      <c r="G91" t="s">
        <v>390</v>
      </c>
      <c r="H91">
        <v>1</v>
      </c>
    </row>
    <row r="92" spans="7:8" x14ac:dyDescent="0.35">
      <c r="G92" t="s">
        <v>244</v>
      </c>
      <c r="H92">
        <v>1</v>
      </c>
    </row>
    <row r="93" spans="7:8" x14ac:dyDescent="0.35">
      <c r="G93" t="s">
        <v>400</v>
      </c>
      <c r="H93">
        <v>1</v>
      </c>
    </row>
    <row r="94" spans="7:8" x14ac:dyDescent="0.35">
      <c r="G94" t="s">
        <v>301</v>
      </c>
      <c r="H94">
        <v>1</v>
      </c>
    </row>
    <row r="95" spans="7:8" x14ac:dyDescent="0.35">
      <c r="G95" t="s">
        <v>288</v>
      </c>
      <c r="H95">
        <v>1</v>
      </c>
    </row>
    <row r="96" spans="7:8" x14ac:dyDescent="0.35">
      <c r="G96" t="s">
        <v>308</v>
      </c>
      <c r="H96">
        <v>1</v>
      </c>
    </row>
    <row r="97" spans="7:8" x14ac:dyDescent="0.35">
      <c r="G97" t="s">
        <v>323</v>
      </c>
      <c r="H97">
        <v>1</v>
      </c>
    </row>
    <row r="98" spans="7:8" x14ac:dyDescent="0.35">
      <c r="G98" t="s">
        <v>278</v>
      </c>
      <c r="H98">
        <v>1</v>
      </c>
    </row>
    <row r="99" spans="7:8" x14ac:dyDescent="0.35">
      <c r="G99" t="s">
        <v>412</v>
      </c>
      <c r="H99">
        <v>1</v>
      </c>
    </row>
    <row r="100" spans="7:8" x14ac:dyDescent="0.35">
      <c r="G100" t="s">
        <v>361</v>
      </c>
      <c r="H100">
        <v>2</v>
      </c>
    </row>
    <row r="101" spans="7:8" x14ac:dyDescent="0.35">
      <c r="G101" t="s">
        <v>268</v>
      </c>
      <c r="H101">
        <v>1</v>
      </c>
    </row>
    <row r="102" spans="7:8" x14ac:dyDescent="0.35">
      <c r="G102" t="s">
        <v>326</v>
      </c>
      <c r="H102">
        <v>1</v>
      </c>
    </row>
    <row r="103" spans="7:8" x14ac:dyDescent="0.35">
      <c r="G103" t="s">
        <v>264</v>
      </c>
      <c r="H103">
        <v>1</v>
      </c>
    </row>
    <row r="104" spans="7:8" x14ac:dyDescent="0.35">
      <c r="G104" t="s">
        <v>381</v>
      </c>
      <c r="H104">
        <v>1</v>
      </c>
    </row>
    <row r="105" spans="7:8" x14ac:dyDescent="0.35">
      <c r="G105" t="s">
        <v>310</v>
      </c>
      <c r="H105">
        <v>1</v>
      </c>
    </row>
    <row r="106" spans="7:8" x14ac:dyDescent="0.35">
      <c r="G106" t="s">
        <v>293</v>
      </c>
      <c r="H106">
        <v>1</v>
      </c>
    </row>
    <row r="107" spans="7:8" x14ac:dyDescent="0.35">
      <c r="G107" t="s">
        <v>386</v>
      </c>
      <c r="H107">
        <v>1</v>
      </c>
    </row>
    <row r="108" spans="7:8" x14ac:dyDescent="0.35">
      <c r="G108" t="s">
        <v>299</v>
      </c>
      <c r="H108">
        <v>1</v>
      </c>
    </row>
    <row r="109" spans="7:8" x14ac:dyDescent="0.35">
      <c r="G109" t="s">
        <v>418</v>
      </c>
      <c r="H109">
        <v>1</v>
      </c>
    </row>
    <row r="110" spans="7:8" x14ac:dyDescent="0.35">
      <c r="G110" t="s">
        <v>309</v>
      </c>
      <c r="H110">
        <v>1</v>
      </c>
    </row>
    <row r="111" spans="7:8" x14ac:dyDescent="0.35">
      <c r="G111" t="s">
        <v>228</v>
      </c>
      <c r="H111">
        <v>1</v>
      </c>
    </row>
    <row r="112" spans="7:8" x14ac:dyDescent="0.35">
      <c r="G112" t="s">
        <v>348</v>
      </c>
      <c r="H112">
        <v>1</v>
      </c>
    </row>
    <row r="113" spans="7:8" x14ac:dyDescent="0.35">
      <c r="G113" t="s">
        <v>371</v>
      </c>
      <c r="H113">
        <v>1</v>
      </c>
    </row>
    <row r="114" spans="7:8" x14ac:dyDescent="0.35">
      <c r="G114" t="s">
        <v>253</v>
      </c>
      <c r="H114">
        <v>1</v>
      </c>
    </row>
    <row r="115" spans="7:8" x14ac:dyDescent="0.35">
      <c r="G115" t="s">
        <v>340</v>
      </c>
      <c r="H115">
        <v>1</v>
      </c>
    </row>
    <row r="116" spans="7:8" x14ac:dyDescent="0.35">
      <c r="G116" t="s">
        <v>217</v>
      </c>
      <c r="H116">
        <v>1</v>
      </c>
    </row>
    <row r="117" spans="7:8" x14ac:dyDescent="0.35">
      <c r="G117" t="s">
        <v>334</v>
      </c>
      <c r="H117">
        <v>1</v>
      </c>
    </row>
    <row r="118" spans="7:8" x14ac:dyDescent="0.35">
      <c r="G118" t="s">
        <v>283</v>
      </c>
      <c r="H118">
        <v>1</v>
      </c>
    </row>
    <row r="119" spans="7:8" x14ac:dyDescent="0.35">
      <c r="G119" t="s">
        <v>263</v>
      </c>
      <c r="H119">
        <v>1</v>
      </c>
    </row>
    <row r="120" spans="7:8" x14ac:dyDescent="0.35">
      <c r="G120" t="s">
        <v>219</v>
      </c>
      <c r="H120">
        <v>1</v>
      </c>
    </row>
    <row r="121" spans="7:8" x14ac:dyDescent="0.35">
      <c r="G121" t="s">
        <v>345</v>
      </c>
      <c r="H121">
        <v>1</v>
      </c>
    </row>
    <row r="122" spans="7:8" x14ac:dyDescent="0.35">
      <c r="G122" t="s">
        <v>338</v>
      </c>
      <c r="H122">
        <v>1</v>
      </c>
    </row>
    <row r="123" spans="7:8" x14ac:dyDescent="0.35">
      <c r="G123" t="s">
        <v>233</v>
      </c>
      <c r="H123">
        <v>1</v>
      </c>
    </row>
    <row r="124" spans="7:8" x14ac:dyDescent="0.35">
      <c r="G124" t="s">
        <v>312</v>
      </c>
      <c r="H124">
        <v>1</v>
      </c>
    </row>
    <row r="125" spans="7:8" x14ac:dyDescent="0.35">
      <c r="G125" t="s">
        <v>374</v>
      </c>
      <c r="H125">
        <v>1</v>
      </c>
    </row>
    <row r="126" spans="7:8" x14ac:dyDescent="0.35">
      <c r="G126" t="s">
        <v>373</v>
      </c>
      <c r="H126">
        <v>1</v>
      </c>
    </row>
    <row r="127" spans="7:8" x14ac:dyDescent="0.35">
      <c r="G127" t="s">
        <v>387</v>
      </c>
      <c r="H127">
        <v>1</v>
      </c>
    </row>
    <row r="128" spans="7:8" x14ac:dyDescent="0.35">
      <c r="G128" t="s">
        <v>364</v>
      </c>
      <c r="H128">
        <v>1</v>
      </c>
    </row>
    <row r="129" spans="7:8" x14ac:dyDescent="0.35">
      <c r="G129" t="s">
        <v>337</v>
      </c>
      <c r="H129">
        <v>1</v>
      </c>
    </row>
    <row r="130" spans="7:8" x14ac:dyDescent="0.35">
      <c r="G130" t="s">
        <v>365</v>
      </c>
      <c r="H130">
        <v>1</v>
      </c>
    </row>
    <row r="131" spans="7:8" x14ac:dyDescent="0.35">
      <c r="G131" t="s">
        <v>343</v>
      </c>
      <c r="H131">
        <v>1</v>
      </c>
    </row>
    <row r="132" spans="7:8" x14ac:dyDescent="0.35">
      <c r="G132" t="s">
        <v>220</v>
      </c>
      <c r="H132">
        <v>1</v>
      </c>
    </row>
    <row r="133" spans="7:8" x14ac:dyDescent="0.35">
      <c r="G133" t="s">
        <v>324</v>
      </c>
      <c r="H133">
        <v>1</v>
      </c>
    </row>
    <row r="134" spans="7:8" x14ac:dyDescent="0.35">
      <c r="G134" t="s">
        <v>421</v>
      </c>
      <c r="H134">
        <v>1</v>
      </c>
    </row>
    <row r="135" spans="7:8" x14ac:dyDescent="0.35">
      <c r="G135" t="s">
        <v>332</v>
      </c>
      <c r="H135">
        <v>1</v>
      </c>
    </row>
    <row r="136" spans="7:8" x14ac:dyDescent="0.35">
      <c r="G136" t="s">
        <v>404</v>
      </c>
      <c r="H136">
        <v>1</v>
      </c>
    </row>
    <row r="137" spans="7:8" x14ac:dyDescent="0.35">
      <c r="G137" t="s">
        <v>357</v>
      </c>
      <c r="H137">
        <v>1</v>
      </c>
    </row>
    <row r="138" spans="7:8" x14ac:dyDescent="0.35">
      <c r="G138" t="s">
        <v>311</v>
      </c>
      <c r="H138">
        <v>1</v>
      </c>
    </row>
    <row r="139" spans="7:8" x14ac:dyDescent="0.35">
      <c r="G139" t="s">
        <v>261</v>
      </c>
      <c r="H139">
        <v>1</v>
      </c>
    </row>
    <row r="140" spans="7:8" x14ac:dyDescent="0.35">
      <c r="G140" t="s">
        <v>379</v>
      </c>
      <c r="H140">
        <v>1</v>
      </c>
    </row>
    <row r="141" spans="7:8" x14ac:dyDescent="0.35">
      <c r="G141" t="s">
        <v>347</v>
      </c>
      <c r="H141">
        <v>1</v>
      </c>
    </row>
    <row r="142" spans="7:8" x14ac:dyDescent="0.35">
      <c r="G142" t="s">
        <v>325</v>
      </c>
      <c r="H142">
        <v>1</v>
      </c>
    </row>
    <row r="143" spans="7:8" x14ac:dyDescent="0.35">
      <c r="G143" t="s">
        <v>243</v>
      </c>
      <c r="H143">
        <v>1</v>
      </c>
    </row>
    <row r="144" spans="7:8" x14ac:dyDescent="0.35">
      <c r="G144" t="s">
        <v>331</v>
      </c>
      <c r="H144">
        <v>1</v>
      </c>
    </row>
    <row r="145" spans="7:8" x14ac:dyDescent="0.35">
      <c r="G145" t="s">
        <v>398</v>
      </c>
      <c r="H145">
        <v>1</v>
      </c>
    </row>
    <row r="146" spans="7:8" x14ac:dyDescent="0.35">
      <c r="G146" t="s">
        <v>402</v>
      </c>
      <c r="H146">
        <v>1</v>
      </c>
    </row>
    <row r="147" spans="7:8" x14ac:dyDescent="0.35">
      <c r="G147" t="s">
        <v>270</v>
      </c>
      <c r="H147">
        <v>1</v>
      </c>
    </row>
    <row r="148" spans="7:8" x14ac:dyDescent="0.35">
      <c r="G148" t="s">
        <v>339</v>
      </c>
      <c r="H148">
        <v>1</v>
      </c>
    </row>
    <row r="149" spans="7:8" x14ac:dyDescent="0.35">
      <c r="G149" t="s">
        <v>303</v>
      </c>
      <c r="H149">
        <v>1</v>
      </c>
    </row>
    <row r="150" spans="7:8" x14ac:dyDescent="0.35">
      <c r="G150" t="s">
        <v>260</v>
      </c>
      <c r="H150">
        <v>1</v>
      </c>
    </row>
    <row r="151" spans="7:8" x14ac:dyDescent="0.35">
      <c r="G151" t="s">
        <v>258</v>
      </c>
      <c r="H151">
        <v>1</v>
      </c>
    </row>
    <row r="152" spans="7:8" x14ac:dyDescent="0.35">
      <c r="G152" t="s">
        <v>315</v>
      </c>
      <c r="H152">
        <v>1</v>
      </c>
    </row>
    <row r="153" spans="7:8" x14ac:dyDescent="0.35">
      <c r="G153" t="s">
        <v>372</v>
      </c>
      <c r="H153">
        <v>1</v>
      </c>
    </row>
    <row r="154" spans="7:8" x14ac:dyDescent="0.35">
      <c r="G154" t="s">
        <v>403</v>
      </c>
      <c r="H154">
        <v>1</v>
      </c>
    </row>
    <row r="155" spans="7:8" x14ac:dyDescent="0.35">
      <c r="G155" t="s">
        <v>291</v>
      </c>
      <c r="H155">
        <v>1</v>
      </c>
    </row>
    <row r="156" spans="7:8" x14ac:dyDescent="0.35">
      <c r="G156" t="s">
        <v>241</v>
      </c>
      <c r="H156">
        <v>2</v>
      </c>
    </row>
    <row r="157" spans="7:8" x14ac:dyDescent="0.35">
      <c r="G157" t="s">
        <v>382</v>
      </c>
      <c r="H157">
        <v>1</v>
      </c>
    </row>
    <row r="158" spans="7:8" x14ac:dyDescent="0.35">
      <c r="G158" t="s">
        <v>330</v>
      </c>
      <c r="H158">
        <v>1</v>
      </c>
    </row>
    <row r="159" spans="7:8" x14ac:dyDescent="0.35">
      <c r="G159" t="s">
        <v>229</v>
      </c>
      <c r="H159">
        <v>1</v>
      </c>
    </row>
    <row r="160" spans="7:8" x14ac:dyDescent="0.35">
      <c r="G160" t="s">
        <v>392</v>
      </c>
      <c r="H160">
        <v>1</v>
      </c>
    </row>
    <row r="161" spans="7:8" x14ac:dyDescent="0.35">
      <c r="G161" t="s">
        <v>287</v>
      </c>
      <c r="H161">
        <v>1</v>
      </c>
    </row>
    <row r="162" spans="7:8" x14ac:dyDescent="0.35">
      <c r="G162" t="s">
        <v>232</v>
      </c>
      <c r="H162">
        <v>1</v>
      </c>
    </row>
    <row r="163" spans="7:8" x14ac:dyDescent="0.35">
      <c r="G163" t="s">
        <v>249</v>
      </c>
      <c r="H163">
        <v>1</v>
      </c>
    </row>
    <row r="164" spans="7:8" x14ac:dyDescent="0.35">
      <c r="G164" t="s">
        <v>300</v>
      </c>
      <c r="H164">
        <v>1</v>
      </c>
    </row>
    <row r="165" spans="7:8" x14ac:dyDescent="0.35">
      <c r="G165" t="s">
        <v>388</v>
      </c>
      <c r="H165">
        <v>1</v>
      </c>
    </row>
    <row r="166" spans="7:8" x14ac:dyDescent="0.35">
      <c r="G166" t="s">
        <v>419</v>
      </c>
      <c r="H166">
        <v>1</v>
      </c>
    </row>
    <row r="167" spans="7:8" x14ac:dyDescent="0.35">
      <c r="G167" t="s">
        <v>255</v>
      </c>
      <c r="H167">
        <v>1</v>
      </c>
    </row>
    <row r="168" spans="7:8" x14ac:dyDescent="0.35">
      <c r="G168" t="s">
        <v>359</v>
      </c>
      <c r="H168">
        <v>1</v>
      </c>
    </row>
    <row r="169" spans="7:8" x14ac:dyDescent="0.35">
      <c r="G169" t="s">
        <v>353</v>
      </c>
      <c r="H169">
        <v>1</v>
      </c>
    </row>
    <row r="170" spans="7:8" x14ac:dyDescent="0.35">
      <c r="G170" t="s">
        <v>273</v>
      </c>
      <c r="H170">
        <v>1</v>
      </c>
    </row>
    <row r="171" spans="7:8" x14ac:dyDescent="0.35">
      <c r="G171" t="s">
        <v>224</v>
      </c>
      <c r="H171">
        <v>1</v>
      </c>
    </row>
    <row r="172" spans="7:8" x14ac:dyDescent="0.35">
      <c r="G172" t="s">
        <v>304</v>
      </c>
      <c r="H172">
        <v>1</v>
      </c>
    </row>
    <row r="173" spans="7:8" x14ac:dyDescent="0.35">
      <c r="G173" t="s">
        <v>237</v>
      </c>
      <c r="H173">
        <v>1</v>
      </c>
    </row>
    <row r="174" spans="7:8" x14ac:dyDescent="0.35">
      <c r="G174" t="s">
        <v>254</v>
      </c>
      <c r="H174">
        <v>1</v>
      </c>
    </row>
    <row r="175" spans="7:8" x14ac:dyDescent="0.35">
      <c r="G175" t="s">
        <v>256</v>
      </c>
      <c r="H175">
        <v>1</v>
      </c>
    </row>
    <row r="176" spans="7:8" x14ac:dyDescent="0.35">
      <c r="G176" t="s">
        <v>375</v>
      </c>
      <c r="H176">
        <v>1</v>
      </c>
    </row>
    <row r="177" spans="7:8" x14ac:dyDescent="0.35">
      <c r="G177" t="s">
        <v>380</v>
      </c>
      <c r="H177">
        <v>1</v>
      </c>
    </row>
    <row r="178" spans="7:8" x14ac:dyDescent="0.35">
      <c r="G178" t="s">
        <v>335</v>
      </c>
      <c r="H178">
        <v>1</v>
      </c>
    </row>
    <row r="179" spans="7:8" x14ac:dyDescent="0.35">
      <c r="G179" t="s">
        <v>282</v>
      </c>
      <c r="H179">
        <v>1</v>
      </c>
    </row>
    <row r="180" spans="7:8" x14ac:dyDescent="0.35">
      <c r="G180" t="s">
        <v>239</v>
      </c>
      <c r="H180">
        <v>1</v>
      </c>
    </row>
    <row r="181" spans="7:8" x14ac:dyDescent="0.35">
      <c r="G181" t="s">
        <v>367</v>
      </c>
      <c r="H181">
        <v>1</v>
      </c>
    </row>
    <row r="182" spans="7:8" x14ac:dyDescent="0.35">
      <c r="G182" t="s">
        <v>240</v>
      </c>
      <c r="H182">
        <v>1</v>
      </c>
    </row>
    <row r="183" spans="7:8" x14ac:dyDescent="0.35">
      <c r="G183" t="s">
        <v>409</v>
      </c>
      <c r="H183">
        <v>1</v>
      </c>
    </row>
    <row r="184" spans="7:8" x14ac:dyDescent="0.35">
      <c r="G184" t="s">
        <v>413</v>
      </c>
      <c r="H184">
        <v>1</v>
      </c>
    </row>
    <row r="185" spans="7:8" x14ac:dyDescent="0.35">
      <c r="G185" t="s">
        <v>351</v>
      </c>
      <c r="H185">
        <v>1</v>
      </c>
    </row>
    <row r="186" spans="7:8" x14ac:dyDescent="0.35">
      <c r="G186" t="s">
        <v>385</v>
      </c>
      <c r="H186">
        <v>1</v>
      </c>
    </row>
    <row r="187" spans="7:8" x14ac:dyDescent="0.35">
      <c r="G187" t="s">
        <v>267</v>
      </c>
      <c r="H187">
        <v>1</v>
      </c>
    </row>
    <row r="188" spans="7:8" x14ac:dyDescent="0.35">
      <c r="G188" t="s">
        <v>313</v>
      </c>
      <c r="H188">
        <v>1</v>
      </c>
    </row>
    <row r="189" spans="7:8" x14ac:dyDescent="0.35">
      <c r="G189" t="s">
        <v>406</v>
      </c>
      <c r="H189">
        <v>1</v>
      </c>
    </row>
    <row r="190" spans="7:8" x14ac:dyDescent="0.35">
      <c r="G190" t="s">
        <v>275</v>
      </c>
      <c r="H190">
        <v>1</v>
      </c>
    </row>
    <row r="191" spans="7:8" x14ac:dyDescent="0.35">
      <c r="G191" t="s">
        <v>218</v>
      </c>
      <c r="H191">
        <v>1</v>
      </c>
    </row>
    <row r="192" spans="7:8" x14ac:dyDescent="0.35">
      <c r="G192" t="s">
        <v>366</v>
      </c>
      <c r="H192">
        <v>1</v>
      </c>
    </row>
    <row r="193" spans="7:8" x14ac:dyDescent="0.35">
      <c r="G193" t="s">
        <v>341</v>
      </c>
      <c r="H193">
        <v>1</v>
      </c>
    </row>
    <row r="194" spans="7:8" x14ac:dyDescent="0.35">
      <c r="G194" t="s">
        <v>286</v>
      </c>
      <c r="H194">
        <v>1</v>
      </c>
    </row>
    <row r="195" spans="7:8" x14ac:dyDescent="0.35">
      <c r="G195" t="s">
        <v>227</v>
      </c>
      <c r="H195">
        <v>1</v>
      </c>
    </row>
    <row r="196" spans="7:8" x14ac:dyDescent="0.35">
      <c r="G196" t="s">
        <v>333</v>
      </c>
      <c r="H196">
        <v>1</v>
      </c>
    </row>
    <row r="197" spans="7:8" x14ac:dyDescent="0.35">
      <c r="G197" t="s">
        <v>257</v>
      </c>
      <c r="H197">
        <v>1</v>
      </c>
    </row>
    <row r="198" spans="7:8" x14ac:dyDescent="0.35">
      <c r="G198" t="s">
        <v>316</v>
      </c>
      <c r="H198">
        <v>1</v>
      </c>
    </row>
    <row r="199" spans="7:8" x14ac:dyDescent="0.35">
      <c r="G199" t="s">
        <v>295</v>
      </c>
      <c r="H199">
        <v>1</v>
      </c>
    </row>
    <row r="200" spans="7:8" x14ac:dyDescent="0.35">
      <c r="G200" t="s">
        <v>274</v>
      </c>
      <c r="H200">
        <v>1</v>
      </c>
    </row>
    <row r="201" spans="7:8" x14ac:dyDescent="0.35">
      <c r="G201" t="s">
        <v>384</v>
      </c>
      <c r="H201">
        <v>1</v>
      </c>
    </row>
    <row r="202" spans="7:8" x14ac:dyDescent="0.35">
      <c r="G202" t="s">
        <v>321</v>
      </c>
      <c r="H202">
        <v>1</v>
      </c>
    </row>
    <row r="203" spans="7:8" x14ac:dyDescent="0.35">
      <c r="G203" t="s">
        <v>415</v>
      </c>
      <c r="H203">
        <v>1</v>
      </c>
    </row>
    <row r="204" spans="7:8" x14ac:dyDescent="0.35">
      <c r="G204" t="s">
        <v>265</v>
      </c>
      <c r="H204">
        <v>1</v>
      </c>
    </row>
    <row r="205" spans="7:8" x14ac:dyDescent="0.35">
      <c r="G205" t="s">
        <v>250</v>
      </c>
      <c r="H205">
        <v>1</v>
      </c>
    </row>
    <row r="206" spans="7:8" x14ac:dyDescent="0.35">
      <c r="G206" t="s">
        <v>271</v>
      </c>
      <c r="H206">
        <v>1</v>
      </c>
    </row>
    <row r="207" spans="7:8" x14ac:dyDescent="0.35">
      <c r="G207" t="s">
        <v>395</v>
      </c>
      <c r="H207">
        <v>1</v>
      </c>
    </row>
    <row r="208" spans="7:8" x14ac:dyDescent="0.35">
      <c r="G208" t="s">
        <v>314</v>
      </c>
      <c r="H208">
        <v>1</v>
      </c>
    </row>
    <row r="209" spans="7:8" x14ac:dyDescent="0.35">
      <c r="G209" t="s">
        <v>378</v>
      </c>
      <c r="H209">
        <v>1</v>
      </c>
    </row>
    <row r="210" spans="7:8" x14ac:dyDescent="0.35">
      <c r="G210" t="s">
        <v>368</v>
      </c>
      <c r="H210">
        <v>1</v>
      </c>
    </row>
    <row r="211" spans="7:8" x14ac:dyDescent="0.35">
      <c r="G211" t="s">
        <v>262</v>
      </c>
      <c r="H211">
        <v>1</v>
      </c>
    </row>
    <row r="212" spans="7:8" x14ac:dyDescent="0.35">
      <c r="G212" t="s">
        <v>362</v>
      </c>
      <c r="H212">
        <v>1</v>
      </c>
    </row>
    <row r="213" spans="7:8" x14ac:dyDescent="0.35">
      <c r="G213" t="s">
        <v>223</v>
      </c>
      <c r="H213">
        <v>1</v>
      </c>
    </row>
    <row r="214" spans="7:8" x14ac:dyDescent="0.35">
      <c r="G214" t="s">
        <v>222</v>
      </c>
      <c r="H214">
        <v>1</v>
      </c>
    </row>
    <row r="215" spans="7:8" x14ac:dyDescent="0.35">
      <c r="G215" t="s">
        <v>307</v>
      </c>
      <c r="H215">
        <v>1</v>
      </c>
    </row>
    <row r="216" spans="7:8" x14ac:dyDescent="0.35">
      <c r="G216" t="s">
        <v>346</v>
      </c>
      <c r="H216">
        <v>1</v>
      </c>
    </row>
    <row r="217" spans="7:8" x14ac:dyDescent="0.35">
      <c r="G217" t="s">
        <v>284</v>
      </c>
      <c r="H217">
        <v>1</v>
      </c>
    </row>
    <row r="218" spans="7:8" x14ac:dyDescent="0.35">
      <c r="G218" t="s">
        <v>226</v>
      </c>
      <c r="H218">
        <v>1</v>
      </c>
    </row>
    <row r="219" spans="7:8" x14ac:dyDescent="0.35">
      <c r="G219" t="s">
        <v>411</v>
      </c>
      <c r="H219">
        <v>1</v>
      </c>
    </row>
    <row r="220" spans="7:8" x14ac:dyDescent="0.35">
      <c r="G220" t="s">
        <v>294</v>
      </c>
      <c r="H220">
        <v>1</v>
      </c>
    </row>
    <row r="221" spans="7:8" x14ac:dyDescent="0.35">
      <c r="G221" t="s">
        <v>289</v>
      </c>
      <c r="H221">
        <v>1</v>
      </c>
    </row>
    <row r="222" spans="7:8" x14ac:dyDescent="0.35">
      <c r="G222" t="s">
        <v>238</v>
      </c>
      <c r="H222">
        <v>1</v>
      </c>
    </row>
    <row r="223" spans="7:8" x14ac:dyDescent="0.35">
      <c r="G223" t="s">
        <v>221</v>
      </c>
      <c r="H223">
        <v>1</v>
      </c>
    </row>
    <row r="224" spans="7:8" x14ac:dyDescent="0.35">
      <c r="G224" t="s">
        <v>290</v>
      </c>
      <c r="H224">
        <v>1</v>
      </c>
    </row>
    <row r="225" spans="7:8" x14ac:dyDescent="0.35">
      <c r="G225" t="s">
        <v>389</v>
      </c>
      <c r="H225">
        <v>1</v>
      </c>
    </row>
    <row r="226" spans="7:8" x14ac:dyDescent="0.35">
      <c r="G226" t="s">
        <v>422</v>
      </c>
      <c r="H226">
        <v>1</v>
      </c>
    </row>
    <row r="227" spans="7:8" x14ac:dyDescent="0.35">
      <c r="G227" t="s">
        <v>416</v>
      </c>
      <c r="H227">
        <v>1</v>
      </c>
    </row>
    <row r="228" spans="7:8" x14ac:dyDescent="0.35">
      <c r="G228" t="s">
        <v>272</v>
      </c>
      <c r="H228">
        <v>1</v>
      </c>
    </row>
    <row r="229" spans="7:8" x14ac:dyDescent="0.35">
      <c r="G229" t="s">
        <v>336</v>
      </c>
      <c r="H229">
        <v>1</v>
      </c>
    </row>
    <row r="230" spans="7:8" x14ac:dyDescent="0.35">
      <c r="G230" t="s">
        <v>252</v>
      </c>
      <c r="H230">
        <v>1</v>
      </c>
    </row>
    <row r="231" spans="7:8" x14ac:dyDescent="0.35">
      <c r="G231" t="s">
        <v>280</v>
      </c>
      <c r="H231">
        <v>1</v>
      </c>
    </row>
    <row r="232" spans="7:8" x14ac:dyDescent="0.35">
      <c r="G232" t="s">
        <v>401</v>
      </c>
      <c r="H232">
        <v>1</v>
      </c>
    </row>
    <row r="233" spans="7:8" x14ac:dyDescent="0.35">
      <c r="G233" t="s">
        <v>277</v>
      </c>
      <c r="H233">
        <v>1</v>
      </c>
    </row>
    <row r="234" spans="7:8" x14ac:dyDescent="0.35">
      <c r="G234" t="s">
        <v>394</v>
      </c>
      <c r="H234">
        <v>1</v>
      </c>
    </row>
    <row r="235" spans="7:8" x14ac:dyDescent="0.35">
      <c r="G235" t="s">
        <v>236</v>
      </c>
      <c r="H235">
        <v>1</v>
      </c>
    </row>
    <row r="236" spans="7:8" x14ac:dyDescent="0.35">
      <c r="G236" t="s">
        <v>322</v>
      </c>
      <c r="H236">
        <v>1</v>
      </c>
    </row>
    <row r="237" spans="7:8" x14ac:dyDescent="0.35">
      <c r="G237" t="s">
        <v>302</v>
      </c>
      <c r="H237">
        <v>1</v>
      </c>
    </row>
    <row r="238" spans="7:8" x14ac:dyDescent="0.35">
      <c r="G238" t="s">
        <v>360</v>
      </c>
      <c r="H238">
        <v>1</v>
      </c>
    </row>
    <row r="239" spans="7:8" x14ac:dyDescent="0.35">
      <c r="G239" t="s">
        <v>445</v>
      </c>
      <c r="H239">
        <v>208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0897D-A0BE-4293-87AB-6CCC05A69C5E}">
  <dimension ref="A1"/>
  <sheetViews>
    <sheetView showGridLines="0" tabSelected="1" zoomScale="99" zoomScaleNormal="26" workbookViewId="0">
      <selection activeCell="AF42" sqref="AF42"/>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Pivot Tables</vt:lpstr>
      <vt:lpstr>Final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dc:creator>
  <cp:lastModifiedBy>Harshal Gangawane</cp:lastModifiedBy>
  <dcterms:created xsi:type="dcterms:W3CDTF">2025-07-15T08:51:44Z</dcterms:created>
  <dcterms:modified xsi:type="dcterms:W3CDTF">2026-01-19T06:17:26Z</dcterms:modified>
</cp:coreProperties>
</file>